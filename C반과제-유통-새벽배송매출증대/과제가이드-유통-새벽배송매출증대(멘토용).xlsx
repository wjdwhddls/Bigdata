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교재_청년AI.Bigdata\2026년_교재\과제수행_데이터(26년1분기)\C반과제-유통-새벽배송매출증대\"/>
    </mc:Choice>
  </mc:AlternateContent>
  <xr:revisionPtr revIDLastSave="0" documentId="13_ncr:1_{A1634BC0-35E2-4513-83E5-22D3D9DB0FC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데이터 목록" sheetId="16" r:id="rId1"/>
    <sheet name="데이터 사전" sheetId="1" r:id="rId2"/>
    <sheet name="자료조사" sheetId="25" r:id="rId3"/>
    <sheet name="시나리오.멘토용" sheetId="12" r:id="rId4"/>
    <sheet name="탐색분석" sheetId="27" r:id="rId5"/>
    <sheet name="상품분류" sheetId="28" state="hidden" r:id="rId6"/>
  </sheets>
  <definedNames>
    <definedName name="_xlnm._FilterDatabase" localSheetId="5" hidden="1">상품분류!$A$1:$L$74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5" i="28" l="1"/>
  <c r="I56" i="28"/>
  <c r="I16" i="28"/>
  <c r="I67" i="28"/>
  <c r="I15" i="28"/>
  <c r="I66" i="28"/>
  <c r="I65" i="28"/>
  <c r="I14" i="28"/>
  <c r="I64" i="28"/>
  <c r="I25" i="28"/>
  <c r="I74" i="28"/>
  <c r="I24" i="28"/>
  <c r="I13" i="28"/>
  <c r="I73" i="28"/>
  <c r="I54" i="28"/>
  <c r="I72" i="28"/>
  <c r="I12" i="28"/>
  <c r="I23" i="28"/>
  <c r="I53" i="28"/>
  <c r="I57" i="28"/>
  <c r="I41" i="28"/>
  <c r="I52" i="28"/>
  <c r="I71" i="28"/>
  <c r="I40" i="28"/>
  <c r="I70" i="28"/>
  <c r="I11" i="28"/>
  <c r="I10" i="28"/>
  <c r="I51" i="28"/>
  <c r="I50" i="28"/>
  <c r="I27" i="28"/>
  <c r="I22" i="28"/>
  <c r="I69" i="28"/>
  <c r="I49" i="28"/>
  <c r="I48" i="28"/>
  <c r="I30" i="28"/>
  <c r="I39" i="28"/>
  <c r="I63" i="28"/>
  <c r="I62" i="28"/>
  <c r="I21" i="28"/>
  <c r="I9" i="28"/>
  <c r="I20" i="28"/>
  <c r="I68" i="28"/>
  <c r="I38" i="28"/>
  <c r="I8" i="28"/>
  <c r="I19" i="28"/>
  <c r="I7" i="28"/>
  <c r="I6" i="28"/>
  <c r="I37" i="28"/>
  <c r="I36" i="28"/>
  <c r="I35" i="28"/>
  <c r="I34" i="28"/>
  <c r="I5" i="28"/>
  <c r="I4" i="28"/>
  <c r="I18" i="28"/>
  <c r="I47" i="28"/>
  <c r="I46" i="28"/>
  <c r="I61" i="28"/>
  <c r="I3" i="28"/>
  <c r="I60" i="28"/>
  <c r="I29" i="28"/>
  <c r="I33" i="28"/>
  <c r="I26" i="28"/>
  <c r="I42" i="28"/>
  <c r="I32" i="28"/>
  <c r="I28" i="28"/>
  <c r="I2" i="28"/>
  <c r="I17" i="28"/>
  <c r="I45" i="28"/>
  <c r="I44" i="28"/>
  <c r="I59" i="28"/>
  <c r="I31" i="28"/>
  <c r="I58" i="28"/>
  <c r="I43" i="28"/>
  <c r="BL7" i="27"/>
  <c r="BL8" i="27"/>
  <c r="BL9" i="27"/>
  <c r="BL10" i="27"/>
  <c r="BL11" i="27"/>
  <c r="BL12" i="27"/>
  <c r="BL13" i="27"/>
  <c r="BL6" i="27"/>
  <c r="AR45" i="27"/>
  <c r="AR43" i="27"/>
  <c r="AR41" i="27"/>
  <c r="AR40" i="27"/>
  <c r="AR38" i="27"/>
  <c r="AR37" i="27"/>
  <c r="AR35" i="27"/>
  <c r="AR34" i="27"/>
  <c r="AR32" i="27"/>
  <c r="AR31" i="27"/>
  <c r="AR29" i="27"/>
  <c r="AR28" i="27"/>
  <c r="AR26" i="27"/>
  <c r="AR23" i="27"/>
  <c r="AR20" i="27"/>
  <c r="AR18" i="27"/>
  <c r="AP45" i="27"/>
  <c r="AP43" i="27"/>
  <c r="AP41" i="27"/>
  <c r="AP40" i="27"/>
  <c r="AP38" i="27"/>
  <c r="AP37" i="27"/>
  <c r="AP35" i="27"/>
  <c r="AP34" i="27"/>
  <c r="AP32" i="27"/>
  <c r="AP31" i="27"/>
  <c r="AP29" i="27"/>
  <c r="AP28" i="27"/>
  <c r="AP26" i="27"/>
  <c r="AP23" i="27"/>
  <c r="AP20" i="27"/>
  <c r="AP18" i="27"/>
  <c r="AN45" i="27"/>
  <c r="AN43" i="27"/>
  <c r="AN41" i="27"/>
  <c r="AN40" i="27"/>
  <c r="AN38" i="27"/>
  <c r="AN37" i="27"/>
  <c r="AN35" i="27"/>
  <c r="AN34" i="27"/>
  <c r="AN32" i="27"/>
  <c r="AN31" i="27"/>
  <c r="AN29" i="27"/>
  <c r="AN28" i="27"/>
  <c r="AN26" i="27"/>
  <c r="AN23" i="27"/>
  <c r="AN20" i="27"/>
  <c r="AN18" i="27"/>
  <c r="AL43" i="27"/>
  <c r="AL41" i="27"/>
  <c r="AL40" i="27"/>
  <c r="AL38" i="27"/>
  <c r="AL37" i="27"/>
  <c r="AL35" i="27"/>
  <c r="AL34" i="27"/>
  <c r="AL32" i="27"/>
  <c r="AL31" i="27"/>
  <c r="AL29" i="27"/>
  <c r="AL26" i="27"/>
  <c r="AL45" i="27"/>
  <c r="AL28" i="27"/>
  <c r="AL23" i="27"/>
  <c r="AL20" i="27"/>
  <c r="AL18" i="27"/>
  <c r="AR11" i="27"/>
  <c r="AR9" i="27"/>
  <c r="AR8" i="27"/>
  <c r="AR6" i="27"/>
  <c r="AP11" i="27"/>
  <c r="AP9" i="27"/>
  <c r="AP8" i="27"/>
  <c r="AP6" i="27"/>
  <c r="AN11" i="27"/>
  <c r="AN9" i="27"/>
  <c r="AN8" i="27"/>
  <c r="AN6" i="27"/>
  <c r="AL9" i="27"/>
  <c r="AL8" i="27"/>
  <c r="AL11" i="27"/>
  <c r="AL6" i="27"/>
  <c r="V42" i="27"/>
  <c r="T42" i="27"/>
  <c r="R42" i="27"/>
  <c r="P42" i="27"/>
  <c r="V41" i="27"/>
  <c r="T41" i="27"/>
  <c r="R41" i="27"/>
  <c r="P41" i="27"/>
  <c r="V39" i="27"/>
  <c r="T39" i="27"/>
  <c r="R39" i="27"/>
  <c r="P39" i="27"/>
  <c r="V38" i="27"/>
  <c r="T38" i="27"/>
  <c r="R38" i="27"/>
  <c r="P38" i="27"/>
  <c r="V36" i="27"/>
  <c r="T36" i="27"/>
  <c r="R36" i="27"/>
  <c r="P36" i="27"/>
  <c r="V35" i="27"/>
  <c r="T35" i="27"/>
  <c r="R35" i="27"/>
  <c r="P35" i="27"/>
  <c r="P6" i="27"/>
  <c r="R6" i="27"/>
  <c r="T6" i="27"/>
  <c r="V6" i="27"/>
  <c r="P7" i="27"/>
  <c r="R7" i="27"/>
  <c r="T7" i="27"/>
  <c r="V7" i="27"/>
  <c r="V33" i="27"/>
  <c r="T33" i="27"/>
  <c r="R33" i="27"/>
  <c r="P33" i="27"/>
  <c r="V32" i="27"/>
  <c r="T32" i="27"/>
  <c r="R32" i="27"/>
  <c r="P32" i="27"/>
  <c r="V30" i="27"/>
  <c r="T30" i="27"/>
  <c r="R30" i="27"/>
  <c r="P30" i="27"/>
  <c r="V29" i="27"/>
  <c r="T29" i="27"/>
  <c r="R29" i="27"/>
  <c r="P29" i="27"/>
  <c r="V20" i="27"/>
  <c r="T20" i="27"/>
  <c r="R20" i="27"/>
  <c r="P20" i="27"/>
  <c r="V19" i="27"/>
  <c r="T19" i="27"/>
  <c r="R19" i="27"/>
  <c r="P19" i="27"/>
  <c r="V17" i="27"/>
  <c r="T17" i="27"/>
  <c r="R17" i="27"/>
  <c r="P17" i="27"/>
  <c r="V16" i="27"/>
  <c r="T16" i="27"/>
  <c r="R16" i="27"/>
  <c r="P16" i="27"/>
</calcChain>
</file>

<file path=xl/sharedStrings.xml><?xml version="1.0" encoding="utf-8"?>
<sst xmlns="http://schemas.openxmlformats.org/spreadsheetml/2006/main" count="1346" uniqueCount="561">
  <si>
    <t>40대</t>
  </si>
  <si>
    <t>data</t>
    <phoneticPr fontId="2" type="noConversion"/>
  </si>
  <si>
    <t>variable</t>
    <phoneticPr fontId="2" type="noConversion"/>
  </si>
  <si>
    <t>description</t>
    <phoneticPr fontId="2" type="noConversion"/>
  </si>
  <si>
    <t>type</t>
    <phoneticPr fontId="2" type="noConversion"/>
  </si>
  <si>
    <t>remarks</t>
    <phoneticPr fontId="2" type="noConversion"/>
  </si>
  <si>
    <t>과제 이해</t>
    <phoneticPr fontId="2" type="noConversion"/>
  </si>
  <si>
    <t>자료 조사</t>
    <phoneticPr fontId="2" type="noConversion"/>
  </si>
  <si>
    <t>데이터 이해</t>
    <phoneticPr fontId="2" type="noConversion"/>
  </si>
  <si>
    <t>고객 ID</t>
    <phoneticPr fontId="2" type="noConversion"/>
  </si>
  <si>
    <t>수요일</t>
  </si>
  <si>
    <t>description</t>
    <phoneticPr fontId="2" type="noConversion"/>
  </si>
  <si>
    <t># of Variables</t>
  </si>
  <si>
    <t># of Rows</t>
  </si>
  <si>
    <t>Remarks</t>
  </si>
  <si>
    <t>sample value</t>
    <phoneticPr fontId="2" type="noConversion"/>
  </si>
  <si>
    <t>구분</t>
  </si>
  <si>
    <t>차수</t>
  </si>
  <si>
    <t>단계</t>
  </si>
  <si>
    <t>Task</t>
  </si>
  <si>
    <t>Check Point</t>
  </si>
  <si>
    <t>예상 산출물</t>
  </si>
  <si>
    <t>분석 방향 수립</t>
    <phoneticPr fontId="5" type="noConversion"/>
  </si>
  <si>
    <t>데이터 처리</t>
  </si>
  <si>
    <t>데이터 품질 확인 및 처리</t>
  </si>
  <si>
    <t>데이터 품질 강화</t>
  </si>
  <si>
    <t>결측치 확인 및 처리</t>
  </si>
  <si>
    <t>이상치 확인 및 처리</t>
  </si>
  <si>
    <t>데이터 변환:파생</t>
  </si>
  <si>
    <t>ㅁ자료 조사</t>
  </si>
  <si>
    <t>ㅁ분석 방향(초안)</t>
  </si>
  <si>
    <t>JoinKey 기준으로 통합</t>
    <phoneticPr fontId="2" type="noConversion"/>
  </si>
  <si>
    <t>탐색적 분석</t>
  </si>
  <si>
    <t>ㅁ탐색적 분석 결과
ㅁ결과 해석 및 검토 결과</t>
  </si>
  <si>
    <t>영향인자 도출</t>
  </si>
  <si>
    <t>통계,기계학습,그래프 탐색을 활용한 분석 및 해석</t>
  </si>
  <si>
    <t>영향인자 선정의 적절성</t>
  </si>
  <si>
    <t>영향인자 선정</t>
  </si>
  <si>
    <t>ㅁ최종 영향인자 선정 및 해석
ㅁ예측 모델
ㅁ모델 평가 및 해석</t>
  </si>
  <si>
    <t>모델링</t>
  </si>
  <si>
    <t>모델 평가</t>
  </si>
  <si>
    <t>ㅁ개선안 및 적용 계획</t>
  </si>
  <si>
    <t>개선안 도출</t>
  </si>
  <si>
    <t>고객 특성 기반</t>
    <phoneticPr fontId="2" type="noConversion"/>
  </si>
  <si>
    <t>장바구니 분석 기반 추천 검토</t>
    <phoneticPr fontId="2" type="noConversion"/>
  </si>
  <si>
    <t>고객수</t>
    <phoneticPr fontId="2" type="noConversion"/>
  </si>
  <si>
    <t>20대</t>
  </si>
  <si>
    <t>30대</t>
  </si>
  <si>
    <t>50대</t>
  </si>
  <si>
    <t>남성</t>
  </si>
  <si>
    <t>여성</t>
  </si>
  <si>
    <t>ItemName</t>
  </si>
  <si>
    <t>문자</t>
    <phoneticPr fontId="2" type="noConversion"/>
  </si>
  <si>
    <t>숫자</t>
    <phoneticPr fontId="2" type="noConversion"/>
  </si>
  <si>
    <t>숫자,날짜</t>
    <phoneticPr fontId="2" type="noConversion"/>
  </si>
  <si>
    <t>idUser</t>
  </si>
  <si>
    <t>AgeGroup</t>
  </si>
  <si>
    <t>성별</t>
    <phoneticPr fontId="2" type="noConversion"/>
  </si>
  <si>
    <t>연령대</t>
    <phoneticPr fontId="2" type="noConversion"/>
  </si>
  <si>
    <t>주문/판매 ID</t>
    <phoneticPr fontId="2" type="noConversion"/>
  </si>
  <si>
    <t>U100001</t>
  </si>
  <si>
    <t>주문일자(시각 포함)</t>
    <phoneticPr fontId="2" type="noConversion"/>
  </si>
  <si>
    <t xml:space="preserve">숫자 </t>
    <phoneticPr fontId="2" type="noConversion"/>
  </si>
  <si>
    <t>ㅁ분석 시나리오</t>
    <phoneticPr fontId="5" type="noConversion"/>
  </si>
  <si>
    <t>비즈니스 이해</t>
    <phoneticPr fontId="2" type="noConversion"/>
  </si>
  <si>
    <t>업의 이해</t>
    <phoneticPr fontId="2" type="noConversion"/>
  </si>
  <si>
    <t>데이터 확인</t>
    <phoneticPr fontId="2" type="noConversion"/>
  </si>
  <si>
    <t>제공되는 데이터 구조/의미 이해</t>
    <phoneticPr fontId="2" type="noConversion"/>
  </si>
  <si>
    <t>목표변수 정의 및 설명변수 특성 확인</t>
    <phoneticPr fontId="2" type="noConversion"/>
  </si>
  <si>
    <t>ㅁ분석용 데이터
ㅁ데이터 현황,품질 처리 및 변환</t>
    <phoneticPr fontId="2" type="noConversion"/>
  </si>
  <si>
    <t>목표변수, 설명변수 확인(범주형-분포,연속형-요약)</t>
    <phoneticPr fontId="2" type="noConversion"/>
  </si>
  <si>
    <t>매출 추세</t>
    <phoneticPr fontId="2" type="noConversion"/>
  </si>
  <si>
    <t>분석 데이터 준비</t>
    <phoneticPr fontId="2" type="noConversion"/>
  </si>
  <si>
    <t>과제 이해 
및 준비</t>
    <phoneticPr fontId="2" type="noConversion"/>
  </si>
  <si>
    <t>월/요일/시간대별 매출 분석</t>
    <phoneticPr fontId="2" type="noConversion"/>
  </si>
  <si>
    <t>고객특성별 매출 분석</t>
    <phoneticPr fontId="2" type="noConversion"/>
  </si>
  <si>
    <t>고객 특성(성별/연령대)별 매출 분석</t>
    <phoneticPr fontId="2" type="noConversion"/>
  </si>
  <si>
    <t>목표변수 정의의 타당성</t>
    <phoneticPr fontId="2" type="noConversion"/>
  </si>
  <si>
    <t>결측치/이상치 판단 및 처리의 타당성</t>
    <phoneticPr fontId="2" type="noConversion"/>
  </si>
  <si>
    <t>파생변수 필요성 판단 및 처리의 타당성</t>
    <phoneticPr fontId="2" type="noConversion"/>
  </si>
  <si>
    <t>분석 목적에 따른 데이터 준비의 적절성</t>
    <phoneticPr fontId="2" type="noConversion"/>
  </si>
  <si>
    <t>RFM 정의 및 탐색 분석</t>
    <phoneticPr fontId="2" type="noConversion"/>
  </si>
  <si>
    <t>목표변수 영향인자 분석</t>
    <phoneticPr fontId="2" type="noConversion"/>
  </si>
  <si>
    <t>매출 특성 기반</t>
    <phoneticPr fontId="2" type="noConversion"/>
  </si>
  <si>
    <t>목표변수 영향인자 선정</t>
    <phoneticPr fontId="2" type="noConversion"/>
  </si>
  <si>
    <t>목표변수 예측/분류 모델링</t>
    <phoneticPr fontId="2" type="noConversion"/>
  </si>
  <si>
    <t>매출/고객 특성 기반 추천 검토</t>
    <phoneticPr fontId="2" type="noConversion"/>
  </si>
  <si>
    <t>복수의 모델 개발 및 해석</t>
    <phoneticPr fontId="2" type="noConversion"/>
  </si>
  <si>
    <t>개선안 도출</t>
    <phoneticPr fontId="2" type="noConversion"/>
  </si>
  <si>
    <t>목표/KPI 설정의 타당성</t>
    <phoneticPr fontId="2" type="noConversion"/>
  </si>
  <si>
    <t>목표/KPI 정의</t>
    <phoneticPr fontId="2" type="noConversion"/>
  </si>
  <si>
    <t>목표변수(매출) 예측</t>
    <phoneticPr fontId="2" type="noConversion"/>
  </si>
  <si>
    <t>장바구니 분석 및 적용방안 검토</t>
    <phoneticPr fontId="2" type="noConversion"/>
  </si>
  <si>
    <t>목표 달성을 위한 분석 주제별 개선안 도출</t>
    <phoneticPr fontId="2" type="noConversion"/>
  </si>
  <si>
    <t>도출된 아이디어 적절성 및 효과</t>
    <phoneticPr fontId="2" type="noConversion"/>
  </si>
  <si>
    <t>모델 평가 및 해석의 적절성</t>
    <phoneticPr fontId="2" type="noConversion"/>
  </si>
  <si>
    <t>목표변수 달성 방안 수립</t>
    <phoneticPr fontId="2" type="noConversion"/>
  </si>
  <si>
    <t>목표변수~KPI 연계방안 수립</t>
    <phoneticPr fontId="2" type="noConversion"/>
  </si>
  <si>
    <t>내부 프로세스 개선안 수립</t>
    <phoneticPr fontId="2" type="noConversion"/>
  </si>
  <si>
    <t>개선안의 참신성, 적용가능성 등</t>
    <phoneticPr fontId="2" type="noConversion"/>
  </si>
  <si>
    <t>년도</t>
    <phoneticPr fontId="2" type="noConversion"/>
  </si>
  <si>
    <t>구분</t>
    <phoneticPr fontId="2" type="noConversion"/>
  </si>
  <si>
    <t>대분류코드</t>
  </si>
  <si>
    <t>대분류명</t>
  </si>
  <si>
    <t>중분류코드</t>
  </si>
  <si>
    <t>중분류명</t>
  </si>
  <si>
    <t>소분류코드</t>
  </si>
  <si>
    <t>소분류명</t>
  </si>
  <si>
    <t>ItemName</t>
    <phoneticPr fontId="2" type="noConversion"/>
  </si>
  <si>
    <t>ItemLargeCode</t>
    <phoneticPr fontId="2" type="noConversion"/>
  </si>
  <si>
    <t>ItemLargeName</t>
    <phoneticPr fontId="2" type="noConversion"/>
  </si>
  <si>
    <t>ItemMiddleCode</t>
    <phoneticPr fontId="2" type="noConversion"/>
  </si>
  <si>
    <t>ItemMiddleName</t>
    <phoneticPr fontId="2" type="noConversion"/>
  </si>
  <si>
    <t>ItemSmallCode</t>
    <phoneticPr fontId="2" type="noConversion"/>
  </si>
  <si>
    <t>ItemSmallName</t>
    <phoneticPr fontId="2" type="noConversion"/>
  </si>
  <si>
    <t>ItemCode</t>
    <phoneticPr fontId="2" type="noConversion"/>
  </si>
  <si>
    <t xml:space="preserve"> ==&gt; 비율 참조!!</t>
    <phoneticPr fontId="2" type="noConversion"/>
  </si>
  <si>
    <t>한국소비자원, 온라인쇼핑몰 새벽배송서비스 실태조사</t>
    <phoneticPr fontId="2" type="noConversion"/>
  </si>
  <si>
    <t xml:space="preserve">통계청 KOSIS, 온라인쇼핑 동향 </t>
  </si>
  <si>
    <t>단위:10억원</t>
    <phoneticPr fontId="2" type="noConversion"/>
  </si>
  <si>
    <t>on_users</t>
    <phoneticPr fontId="2" type="noConversion"/>
  </si>
  <si>
    <t>on_items</t>
    <phoneticPr fontId="2" type="noConversion"/>
  </si>
  <si>
    <t>(등록/주문) 고객정보</t>
    <phoneticPr fontId="2" type="noConversion"/>
  </si>
  <si>
    <t>고객ID</t>
    <phoneticPr fontId="2" type="noConversion"/>
  </si>
  <si>
    <t>UserClass</t>
    <phoneticPr fontId="2" type="noConversion"/>
  </si>
  <si>
    <t>여성</t>
    <phoneticPr fontId="2" type="noConversion"/>
  </si>
  <si>
    <t>신선식품</t>
  </si>
  <si>
    <t>수산물</t>
  </si>
  <si>
    <t>갈치</t>
  </si>
  <si>
    <t>갈치(냉동, 100g)</t>
  </si>
  <si>
    <t>idOrder</t>
    <phoneticPr fontId="2" type="noConversion"/>
  </si>
  <si>
    <t>OrderYear</t>
  </si>
  <si>
    <t>OrderMonth</t>
  </si>
  <si>
    <t>OrderDow</t>
  </si>
  <si>
    <t>OrderHour</t>
  </si>
  <si>
    <t>주문일자</t>
    <phoneticPr fontId="2" type="noConversion"/>
  </si>
  <si>
    <t>주문년</t>
  </si>
  <si>
    <t>주문년월</t>
  </si>
  <si>
    <t>주문월</t>
  </si>
  <si>
    <t>주문요일(Day of Week)</t>
  </si>
  <si>
    <t>주문시각</t>
  </si>
  <si>
    <t>고객 등급</t>
    <phoneticPr fontId="2" type="noConversion"/>
  </si>
  <si>
    <t>MemberYN</t>
    <phoneticPr fontId="2" type="noConversion"/>
  </si>
  <si>
    <t>Y</t>
    <phoneticPr fontId="2" type="noConversion"/>
  </si>
  <si>
    <t>배송일자(시각 포함)</t>
    <phoneticPr fontId="2" type="noConversion"/>
  </si>
  <si>
    <t>생수</t>
  </si>
  <si>
    <t>채소류</t>
  </si>
  <si>
    <t>축산물</t>
  </si>
  <si>
    <t>FamilyCount</t>
    <phoneticPr fontId="2" type="noConversion"/>
  </si>
  <si>
    <t>가족 구성원</t>
    <phoneticPr fontId="2" type="noConversion"/>
  </si>
  <si>
    <t>0/1/2/3</t>
    <phoneticPr fontId="2" type="noConversion"/>
  </si>
  <si>
    <t>Gender</t>
    <phoneticPr fontId="2" type="noConversion"/>
  </si>
  <si>
    <t>Age</t>
    <phoneticPr fontId="2" type="noConversion"/>
  </si>
  <si>
    <t>연령</t>
    <phoneticPr fontId="2" type="noConversion"/>
  </si>
  <si>
    <t>DelayYN</t>
    <phoneticPr fontId="2" type="noConversion"/>
  </si>
  <si>
    <t>배송지연 여부</t>
    <phoneticPr fontId="2" type="noConversion"/>
  </si>
  <si>
    <t xml:space="preserve">신선식품 새벽배송 비즈니스 </t>
    <phoneticPr fontId="2" type="noConversion"/>
  </si>
  <si>
    <t>새벽배송 판매/고객관리 프로세스 등</t>
  </si>
  <si>
    <t>고객 특성별 주문 패턴 분석</t>
  </si>
  <si>
    <t>주문건수</t>
    <phoneticPr fontId="2" type="noConversion"/>
  </si>
  <si>
    <t>최근 증가하고 있는 40~60대 고객 부족</t>
    <phoneticPr fontId="2" type="noConversion"/>
  </si>
  <si>
    <t>PriceMin</t>
  </si>
  <si>
    <t>PriceMax</t>
  </si>
  <si>
    <t>가공식품</t>
  </si>
  <si>
    <t>대분류</t>
    <phoneticPr fontId="2" type="noConversion"/>
  </si>
  <si>
    <t>중분류</t>
    <phoneticPr fontId="2" type="noConversion"/>
  </si>
  <si>
    <t>음료</t>
  </si>
  <si>
    <t>프리미엄 회원 가입여부</t>
    <phoneticPr fontId="2" type="noConversion"/>
  </si>
  <si>
    <t>PriceYear</t>
  </si>
  <si>
    <t>품목코드</t>
  </si>
  <si>
    <t>품목명</t>
  </si>
  <si>
    <t xml:space="preserve">주문품목 </t>
  </si>
  <si>
    <t>파생변수 검토 및 생성
예)객당 단가/주문수/주문품목수 등</t>
  </si>
  <si>
    <t>품목별 매출 분석</t>
  </si>
  <si>
    <t>품목 대/중 분류별 매출 분석
품목별 매출 분석</t>
  </si>
  <si>
    <t>품목 추천</t>
  </si>
  <si>
    <t>연관규칙 분석 및 해석
1+1, 묶음 품목 기획 가능성 검토</t>
  </si>
  <si>
    <t>고객/품목특성별 예측</t>
  </si>
  <si>
    <t>품목 추천을 고려한 예측</t>
  </si>
  <si>
    <t>가격 적용년도</t>
    <phoneticPr fontId="2" type="noConversion"/>
  </si>
  <si>
    <t>판매 품목정보</t>
    <phoneticPr fontId="2" type="noConversion"/>
  </si>
  <si>
    <t>주문/배송정보</t>
    <phoneticPr fontId="2" type="noConversion"/>
  </si>
  <si>
    <t>Price</t>
    <phoneticPr fontId="2" type="noConversion"/>
  </si>
  <si>
    <t>데이터 기반 파생</t>
    <phoneticPr fontId="2" type="noConversion"/>
  </si>
  <si>
    <t>데이터 기반(RFM 등) 파생</t>
    <phoneticPr fontId="2" type="noConversion"/>
  </si>
  <si>
    <t>주문품목코드</t>
    <phoneticPr fontId="2" type="noConversion"/>
  </si>
  <si>
    <t>OrderWeek</t>
    <phoneticPr fontId="2" type="noConversion"/>
  </si>
  <si>
    <t>주문주(週)</t>
    <phoneticPr fontId="2" type="noConversion"/>
  </si>
  <si>
    <t>주문당시 금액</t>
    <phoneticPr fontId="2" type="noConversion"/>
  </si>
  <si>
    <t>시기적으로 가격 변동</t>
    <phoneticPr fontId="2" type="noConversion"/>
  </si>
  <si>
    <t>연령대</t>
  </si>
  <si>
    <t>성별</t>
  </si>
  <si>
    <t>고객현황(전체)</t>
    <phoneticPr fontId="2" type="noConversion"/>
  </si>
  <si>
    <t>회원가입</t>
    <phoneticPr fontId="2" type="noConversion"/>
  </si>
  <si>
    <t xml:space="preserve">회원 미가입 12% </t>
    <phoneticPr fontId="2" type="noConversion"/>
  </si>
  <si>
    <t>품목현황(전체)</t>
    <phoneticPr fontId="2" type="noConversion"/>
  </si>
  <si>
    <t>가공식품은 곡물가공, 즉석식품, 축산물가공, 신선식품은 과일, 수산물, 채소 품목의 주문합계금액이 많고 증가율도 높음</t>
    <phoneticPr fontId="2" type="noConversion"/>
  </si>
  <si>
    <t>곡물가공, 즉석식품은 주문평균금액은 낮으나 주문 품목수가 매우 많고, 김치는 주문품목수는 적으나 평균금액이 매우 높음</t>
    <phoneticPr fontId="2" type="noConversion"/>
  </si>
  <si>
    <t>주요 고객층은 20,30대로 주문건수/총액이 매우 높고 년도별 증감율도 높으나 2022년도 증감율이 2021년 대비 낮음</t>
    <phoneticPr fontId="2" type="noConversion"/>
  </si>
  <si>
    <t>연도별 신규/활성 주문고객 증가율이 감소하여 매출 증가에 기여하지 못함</t>
    <phoneticPr fontId="2" type="noConversion"/>
  </si>
  <si>
    <t>년도별 현황</t>
    <phoneticPr fontId="2" type="noConversion"/>
  </si>
  <si>
    <t>주문건수</t>
  </si>
  <si>
    <t>주문액(평균)</t>
  </si>
  <si>
    <t>주문액(평균)</t>
    <phoneticPr fontId="2" type="noConversion"/>
  </si>
  <si>
    <t>주문액(총)</t>
    <phoneticPr fontId="2" type="noConversion"/>
  </si>
  <si>
    <t>-</t>
    <phoneticPr fontId="2" type="noConversion"/>
  </si>
  <si>
    <t>고객수
증감(%)</t>
    <phoneticPr fontId="2" type="noConversion"/>
  </si>
  <si>
    <t>주문건수
증감(%)</t>
    <phoneticPr fontId="2" type="noConversion"/>
  </si>
  <si>
    <t>주문액(평균)
증감(%)</t>
    <phoneticPr fontId="2" type="noConversion"/>
  </si>
  <si>
    <t>주문액(총)
증감(%)</t>
    <phoneticPr fontId="2" type="noConversion"/>
  </si>
  <si>
    <t>성별/년도 현황</t>
    <phoneticPr fontId="2" type="noConversion"/>
  </si>
  <si>
    <t>연령대/년도 현황</t>
    <phoneticPr fontId="2" type="noConversion"/>
  </si>
  <si>
    <t>60대</t>
  </si>
  <si>
    <t>품목 대분류/년도 현황</t>
    <phoneticPr fontId="2" type="noConversion"/>
  </si>
  <si>
    <t>곡물가공</t>
  </si>
  <si>
    <t>과일가공</t>
  </si>
  <si>
    <t>김치</t>
  </si>
  <si>
    <t>수산물가공</t>
  </si>
  <si>
    <t>즉석식품</t>
  </si>
  <si>
    <t>축산물가공</t>
  </si>
  <si>
    <t>과일</t>
  </si>
  <si>
    <t>ㅁ.모든 지표(고객수,주문건수,주문액(평균),주문액(총))에서 2021년 대비 2022년의 전년 대비 증가율이 매우 미흡함.</t>
    <phoneticPr fontId="2" type="noConversion"/>
  </si>
  <si>
    <t>ㅁ.고객수,주문건수 대비 주문액(평균),주문액(총) 증가율이 상대적으로 높은 이유는 품목단가가 높은 가공식품 품목이 증가했기 때문</t>
    <phoneticPr fontId="2" type="noConversion"/>
  </si>
  <si>
    <t>ㅁ.고객수는 적지만 주문액(평균이)이 높았던 남성의 2022년 고객수, 주문건수 증가율은 높으나 주문액(평균)은 여성보다 낮음</t>
    <phoneticPr fontId="2" type="noConversion"/>
  </si>
  <si>
    <t>ㅁ.20~30대 고객 비중이 높으나 고객수 증가율 대비 주문건수 증가율이 미흡하며 비중은 적지만 60대의 주문건수 증가율은 심각한 상황임</t>
    <phoneticPr fontId="2" type="noConversion"/>
  </si>
  <si>
    <t>ㅁ.가공식품, 음료는 2021년부터 판매 시작했으며,특히 가공식품의 주문액(평균),주문액(총) 증가율이 매우 높은데 이는 단가 높은 품목 확대 효과이며</t>
    <phoneticPr fontId="2" type="noConversion"/>
  </si>
  <si>
    <t>ㅁ.자사 주력인 신선식품의 2022년 지표는 매우 저조한 편으로 시급한 개선이 필요</t>
    <phoneticPr fontId="2" type="noConversion"/>
  </si>
  <si>
    <t>활성고객 주문현황:(실제 주문한 고객)</t>
    <phoneticPr fontId="2" type="noConversion"/>
  </si>
  <si>
    <t>품목별 주문현황:(실제 주문한 고객)</t>
    <phoneticPr fontId="2" type="noConversion"/>
  </si>
  <si>
    <t>ㅁ.고객수, 주문건수는 2021년에 완만한 증가세를 보였으나 2022년에는 증가율 많이 둔화됨</t>
    <phoneticPr fontId="2" type="noConversion"/>
  </si>
  <si>
    <t xml:space="preserve">ㅁ.2021년 주문액(평균)의 급격한 증가는 단가가 높은 가공식품(김치, 즉석식품 제외) 품목 확대 효과이며 </t>
    <phoneticPr fontId="2" type="noConversion"/>
  </si>
  <si>
    <t>ㅁ.주문액(총)도 위와 동일함</t>
    <phoneticPr fontId="2" type="noConversion"/>
  </si>
  <si>
    <t xml:space="preserve">    2022년에는 상대적으로 단가가 높은 김치, 즉석식품 품목을 추가했지만 주문건수 증가율이 낮아 큰 효과를 보지 못함.</t>
    <phoneticPr fontId="2" type="noConversion"/>
  </si>
  <si>
    <t>월/시각/요일별 주문현황:(실제 주문한 고객)</t>
    <phoneticPr fontId="2" type="noConversion"/>
  </si>
  <si>
    <t>월별 주문현황</t>
    <phoneticPr fontId="2" type="noConversion"/>
  </si>
  <si>
    <t>시각대별 주문현황</t>
    <phoneticPr fontId="2" type="noConversion"/>
  </si>
  <si>
    <t>ㅁ.16시 이후 주문이 급증하고 21~23시대 주문이 가장 많으며 00~06시 사이는 매우 적음</t>
    <phoneticPr fontId="2" type="noConversion"/>
  </si>
  <si>
    <t>요일별 주문현황</t>
    <phoneticPr fontId="2" type="noConversion"/>
  </si>
  <si>
    <t>ㅁ.일요일(월요일 배송)-수요일-화요일-목요일 순으로 주문이 줄어들며, 주말배송이 불가하여 금요일 20시~토요일은 주문이 안됨</t>
    <phoneticPr fontId="2" type="noConversion"/>
  </si>
  <si>
    <t>Logworth</t>
  </si>
  <si>
    <t>Cut Point</t>
  </si>
  <si>
    <t>품목중분류</t>
  </si>
  <si>
    <t>채소류,생수,축산물</t>
  </si>
  <si>
    <t>품목대분류</t>
  </si>
  <si>
    <t>음료,신선식품</t>
  </si>
  <si>
    <t>60대,20대,40대,30대</t>
  </si>
  <si>
    <t>가족수</t>
  </si>
  <si>
    <t>회원여부</t>
  </si>
  <si>
    <t>Y</t>
  </si>
  <si>
    <t>변수</t>
    <phoneticPr fontId="2" type="noConversion"/>
  </si>
  <si>
    <t>p-Value</t>
    <phoneticPr fontId="2" type="noConversion"/>
  </si>
  <si>
    <t>Remarks</t>
    <phoneticPr fontId="2" type="noConversion"/>
  </si>
  <si>
    <t>유의</t>
    <phoneticPr fontId="2" type="noConversion"/>
  </si>
  <si>
    <t>주문액(총) 영향요인(전체)</t>
    <phoneticPr fontId="2" type="noConversion"/>
  </si>
  <si>
    <t>ㅁ.자연스럽게 주문건수 많고 주문액(평균)이 높을수록 긍정적인 영향을 줌</t>
    <phoneticPr fontId="2" type="noConversion"/>
  </si>
  <si>
    <t xml:space="preserve">  -&gt; 주문건수, 주문액(평균)을 증가시킬 수 있는 방안 도출이 필요</t>
    <phoneticPr fontId="2" type="noConversion"/>
  </si>
  <si>
    <t>ㅁ.단가가 낮은 채소류, 생수는 주문액(총)에 부정(-)의 영향이, 수산물,과일,김치 등 상대적으로 단가가 높은 품목이 긍정 영향이 강함</t>
    <phoneticPr fontId="2" type="noConversion"/>
  </si>
  <si>
    <t xml:space="preserve"> --&gt; 장바구니 분석 등을 통해 최적 품목 조합을 발견하여 추천 및 마케팅 방안 도출이 필요 </t>
    <phoneticPr fontId="2" type="noConversion"/>
  </si>
  <si>
    <t>ㅁ.고객수가 적은 50대, 여성, 가족수 많은 경우 주문액(총)에 긍정 영향이 있음(매우 강하지는 않음)</t>
    <phoneticPr fontId="2" type="noConversion"/>
  </si>
  <si>
    <t xml:space="preserve">  -&gt; 고객 세분화(RFM 등) 이용하여 특성별 맞춤 방안 도출이 필요</t>
    <phoneticPr fontId="2" type="noConversion"/>
  </si>
  <si>
    <t>실제 과제 진행 시에는 연도별/품목 대분류별 상세분석 유도 예정</t>
    <phoneticPr fontId="2" type="noConversion"/>
  </si>
  <si>
    <t>상품정보 연결 및 파생</t>
    <phoneticPr fontId="2" type="noConversion"/>
  </si>
  <si>
    <t>(필요시)데이터 기반 파생</t>
    <phoneticPr fontId="2" type="noConversion"/>
  </si>
  <si>
    <t>DelayTime</t>
    <phoneticPr fontId="2" type="noConversion"/>
  </si>
  <si>
    <t>배송지연 시간(분)</t>
    <phoneticPr fontId="2" type="noConversion"/>
  </si>
  <si>
    <t>OrderDT</t>
    <phoneticPr fontId="2" type="noConversion"/>
  </si>
  <si>
    <t>DeliveryDT</t>
    <phoneticPr fontId="2" type="noConversion"/>
  </si>
  <si>
    <t>on_orders</t>
  </si>
  <si>
    <t>OrderDate</t>
    <phoneticPr fontId="2" type="noConversion"/>
  </si>
  <si>
    <t>OrderYearMonth</t>
    <phoneticPr fontId="2" type="noConversion"/>
  </si>
  <si>
    <t>년도별 최저가격</t>
    <phoneticPr fontId="2" type="noConversion"/>
  </si>
  <si>
    <t>년도별 최고가격</t>
    <phoneticPr fontId="2" type="noConversion"/>
  </si>
  <si>
    <t>품목 기준정보(년도별 가격 최소/최대 포함)</t>
    <phoneticPr fontId="2" type="noConversion"/>
  </si>
  <si>
    <t>P1</t>
    <phoneticPr fontId="2" type="noConversion"/>
  </si>
  <si>
    <t>음료</t>
    <phoneticPr fontId="2" type="noConversion"/>
  </si>
  <si>
    <t>P2</t>
    <phoneticPr fontId="2" type="noConversion"/>
  </si>
  <si>
    <t>P3</t>
    <phoneticPr fontId="2" type="noConversion"/>
  </si>
  <si>
    <t>pum_id</t>
  </si>
  <si>
    <t>pum_name</t>
  </si>
  <si>
    <t>text4sas</t>
    <phoneticPr fontId="2" type="noConversion"/>
  </si>
  <si>
    <t>A019050</t>
  </si>
  <si>
    <t>가공식품</t>
    <phoneticPr fontId="2" type="noConversion"/>
  </si>
  <si>
    <t>간장</t>
  </si>
  <si>
    <t>N</t>
    <phoneticPr fontId="2" type="noConversion"/>
  </si>
  <si>
    <t>고구마</t>
  </si>
  <si>
    <t>A017120</t>
  </si>
  <si>
    <t>고등어</t>
  </si>
  <si>
    <t>A013040</t>
  </si>
  <si>
    <t>과일가공품</t>
  </si>
  <si>
    <t>A017250</t>
  </si>
  <si>
    <t>고사리</t>
  </si>
  <si>
    <t>국수</t>
  </si>
  <si>
    <t>A019080</t>
  </si>
  <si>
    <t>고추장</t>
  </si>
  <si>
    <t>기능성음료</t>
  </si>
  <si>
    <t>A019010</t>
  </si>
  <si>
    <t>고춧가루</t>
  </si>
  <si>
    <t>김</t>
  </si>
  <si>
    <t>A016160</t>
  </si>
  <si>
    <t>A011090</t>
  </si>
  <si>
    <t>낙지</t>
  </si>
  <si>
    <t>A022040</t>
  </si>
  <si>
    <t>기능성음료</t>
    <phoneticPr fontId="2" type="noConversion"/>
  </si>
  <si>
    <t>냉동식품</t>
  </si>
  <si>
    <t>A017280</t>
  </si>
  <si>
    <t>당면</t>
  </si>
  <si>
    <t>A019150</t>
  </si>
  <si>
    <t>신선식품</t>
    <phoneticPr fontId="2" type="noConversion"/>
  </si>
  <si>
    <t>딸기</t>
  </si>
  <si>
    <t>A018030</t>
  </si>
  <si>
    <t>껌</t>
  </si>
  <si>
    <t>A013120</t>
  </si>
  <si>
    <t>수산물</t>
    <phoneticPr fontId="2" type="noConversion"/>
  </si>
  <si>
    <t>라면</t>
  </si>
  <si>
    <t>A019170</t>
  </si>
  <si>
    <t>냉동식품</t>
    <phoneticPr fontId="2" type="noConversion"/>
  </si>
  <si>
    <t>맛김</t>
  </si>
  <si>
    <t>A017270</t>
  </si>
  <si>
    <t>단무지</t>
  </si>
  <si>
    <t>미역</t>
  </si>
  <si>
    <t>A011110</t>
  </si>
  <si>
    <t>밀가루</t>
  </si>
  <si>
    <t>A017130</t>
  </si>
  <si>
    <t>도라지</t>
  </si>
  <si>
    <t>밤</t>
  </si>
  <si>
    <t>A019060</t>
  </si>
  <si>
    <t>된장</t>
  </si>
  <si>
    <t>빵</t>
  </si>
  <si>
    <t>A019110</t>
  </si>
  <si>
    <t>드레싱</t>
  </si>
  <si>
    <t>사과</t>
  </si>
  <si>
    <t>A016110</t>
  </si>
  <si>
    <t>상추</t>
  </si>
  <si>
    <t>A011060</t>
  </si>
  <si>
    <t>땅콩</t>
    <phoneticPr fontId="2" type="noConversion"/>
  </si>
  <si>
    <t>생선통조림</t>
  </si>
  <si>
    <t>A011100</t>
  </si>
  <si>
    <t>A013100</t>
  </si>
  <si>
    <t>마른멸치</t>
  </si>
  <si>
    <t>소시지</t>
  </si>
  <si>
    <t>A013110</t>
  </si>
  <si>
    <t>마른오징어</t>
  </si>
  <si>
    <t>스낵과자</t>
  </si>
  <si>
    <t>A017290</t>
  </si>
  <si>
    <t>아몬드</t>
  </si>
  <si>
    <t>A017300</t>
  </si>
  <si>
    <t>오징어</t>
  </si>
  <si>
    <t>A011080</t>
  </si>
  <si>
    <t>A016050</t>
  </si>
  <si>
    <t>치즈</t>
  </si>
  <si>
    <t>A016020</t>
  </si>
  <si>
    <t>배</t>
  </si>
  <si>
    <t>카레</t>
  </si>
  <si>
    <t>A011040</t>
  </si>
  <si>
    <t>곡물</t>
    <phoneticPr fontId="2" type="noConversion"/>
  </si>
  <si>
    <t>보리쌀</t>
  </si>
  <si>
    <t>커피</t>
  </si>
  <si>
    <t>A013140</t>
  </si>
  <si>
    <t>북어채</t>
  </si>
  <si>
    <t>콩</t>
  </si>
  <si>
    <t>A014020</t>
  </si>
  <si>
    <t>분유</t>
  </si>
  <si>
    <t>탄산음료</t>
  </si>
  <si>
    <t>A016140</t>
  </si>
  <si>
    <t>블루베리</t>
  </si>
  <si>
    <t>토마토</t>
  </si>
  <si>
    <t>A011160</t>
  </si>
  <si>
    <t>파</t>
  </si>
  <si>
    <t>A016010</t>
  </si>
  <si>
    <t>파스타면</t>
  </si>
  <si>
    <t>A017020</t>
  </si>
  <si>
    <t>파프리카</t>
  </si>
  <si>
    <t>A019030</t>
  </si>
  <si>
    <t>생강</t>
  </si>
  <si>
    <t>풋고추</t>
  </si>
  <si>
    <t>A013170</t>
  </si>
  <si>
    <t>호박</t>
  </si>
  <si>
    <t>A022030</t>
  </si>
  <si>
    <t>생수</t>
    <phoneticPr fontId="2" type="noConversion"/>
  </si>
  <si>
    <t>혼합음료</t>
  </si>
  <si>
    <t>A018080</t>
  </si>
  <si>
    <t>설탕</t>
  </si>
  <si>
    <t>A019040</t>
  </si>
  <si>
    <t>소금</t>
  </si>
  <si>
    <t>A012050</t>
  </si>
  <si>
    <t>A016100</t>
  </si>
  <si>
    <t>수박</t>
  </si>
  <si>
    <t>A018060</t>
  </si>
  <si>
    <t>A015020</t>
  </si>
  <si>
    <t>식용유</t>
  </si>
  <si>
    <t>A019100</t>
  </si>
  <si>
    <t>식초</t>
  </si>
  <si>
    <t>A011010</t>
  </si>
  <si>
    <t>쌀</t>
  </si>
  <si>
    <t>A016150</t>
  </si>
  <si>
    <t>A018040</t>
  </si>
  <si>
    <t>아이스크림</t>
  </si>
  <si>
    <t>A013050</t>
  </si>
  <si>
    <t>A019140</t>
  </si>
  <si>
    <t>이유식</t>
  </si>
  <si>
    <t>A018090</t>
  </si>
  <si>
    <t>잼</t>
  </si>
  <si>
    <t>A013090</t>
  </si>
  <si>
    <t>전복</t>
  </si>
  <si>
    <t>A019180</t>
  </si>
  <si>
    <t>즉석식품</t>
    <phoneticPr fontId="2" type="noConversion"/>
  </si>
  <si>
    <t>A015010</t>
  </si>
  <si>
    <t>참기름</t>
  </si>
  <si>
    <t>A016090</t>
  </si>
  <si>
    <t>참외</t>
  </si>
  <si>
    <t>A011030</t>
  </si>
  <si>
    <t>찹쌀</t>
  </si>
  <si>
    <t>A014030</t>
  </si>
  <si>
    <t>A019090</t>
  </si>
  <si>
    <t>A021010</t>
  </si>
  <si>
    <t>A011050</t>
  </si>
  <si>
    <t>A016130</t>
  </si>
  <si>
    <t>키위</t>
  </si>
  <si>
    <t>A022050</t>
  </si>
  <si>
    <t>A017200</t>
  </si>
  <si>
    <t>A017210</t>
  </si>
  <si>
    <t>A011180</t>
  </si>
  <si>
    <t>A017260</t>
  </si>
  <si>
    <t>A017170</t>
  </si>
  <si>
    <t>A011020</t>
  </si>
  <si>
    <t>현미</t>
  </si>
  <si>
    <t>A017180</t>
  </si>
  <si>
    <t>A011070</t>
  </si>
  <si>
    <t>혼식곡</t>
  </si>
  <si>
    <t>A022060</t>
  </si>
  <si>
    <t>A019120</t>
  </si>
  <si>
    <t>혼합조미료</t>
  </si>
  <si>
    <t>커피</t>
    <phoneticPr fontId="2" type="noConversion"/>
  </si>
  <si>
    <t>탄산음료</t>
    <phoneticPr fontId="2" type="noConversion"/>
  </si>
  <si>
    <t>신선식</t>
  </si>
  <si>
    <t>밀가루</t>
    <phoneticPr fontId="2" type="noConversion"/>
  </si>
  <si>
    <t>select_yn</t>
    <phoneticPr fontId="2" type="noConversion"/>
  </si>
  <si>
    <t>select_yn9</t>
    <phoneticPr fontId="2" type="noConversion"/>
  </si>
  <si>
    <t>ItemLargeName</t>
  </si>
  <si>
    <t>ItemMiddleName</t>
  </si>
  <si>
    <t>ItemLargeCode</t>
  </si>
  <si>
    <t>ItemMiddleCode</t>
  </si>
  <si>
    <t>ItemSmallCode</t>
  </si>
  <si>
    <t>곡물</t>
  </si>
  <si>
    <t>과자빙과</t>
  </si>
  <si>
    <t>양념소스</t>
  </si>
  <si>
    <t>채소</t>
  </si>
  <si>
    <t>ItemNo</t>
    <phoneticPr fontId="2" type="noConversion"/>
  </si>
  <si>
    <t>채소</t>
    <phoneticPr fontId="2" type="noConversion"/>
  </si>
  <si>
    <t>L1</t>
  </si>
  <si>
    <t>L2</t>
  </si>
  <si>
    <t>L4</t>
  </si>
  <si>
    <t>M20</t>
    <phoneticPr fontId="2" type="noConversion"/>
  </si>
  <si>
    <t>L3</t>
    <phoneticPr fontId="2" type="noConversion"/>
  </si>
  <si>
    <t>L5</t>
    <phoneticPr fontId="2" type="noConversion"/>
  </si>
  <si>
    <t>M11</t>
    <phoneticPr fontId="2" type="noConversion"/>
  </si>
  <si>
    <t>M12</t>
    <phoneticPr fontId="2" type="noConversion"/>
  </si>
  <si>
    <t>M13</t>
    <phoneticPr fontId="2" type="noConversion"/>
  </si>
  <si>
    <t>M14</t>
    <phoneticPr fontId="2" type="noConversion"/>
  </si>
  <si>
    <t>M15</t>
    <phoneticPr fontId="2" type="noConversion"/>
  </si>
  <si>
    <t>M16</t>
    <phoneticPr fontId="2" type="noConversion"/>
  </si>
  <si>
    <t>M17</t>
    <phoneticPr fontId="2" type="noConversion"/>
  </si>
  <si>
    <t>M18</t>
    <phoneticPr fontId="2" type="noConversion"/>
  </si>
  <si>
    <t>M19</t>
    <phoneticPr fontId="2" type="noConversion"/>
  </si>
  <si>
    <t>M21</t>
    <phoneticPr fontId="2" type="noConversion"/>
  </si>
  <si>
    <t>M22</t>
    <phoneticPr fontId="2" type="noConversion"/>
  </si>
  <si>
    <t>M23</t>
    <phoneticPr fontId="2" type="noConversion"/>
  </si>
  <si>
    <t>M24</t>
    <phoneticPr fontId="2" type="noConversion"/>
  </si>
  <si>
    <t>M25</t>
    <phoneticPr fontId="2" type="noConversion"/>
  </si>
  <si>
    <t>S0010</t>
    <phoneticPr fontId="2" type="noConversion"/>
  </si>
  <si>
    <t>S0020</t>
    <phoneticPr fontId="2" type="noConversion"/>
  </si>
  <si>
    <t>S0030</t>
  </si>
  <si>
    <t>S0040</t>
  </si>
  <si>
    <t>S0050</t>
  </si>
  <si>
    <t>S0060</t>
  </si>
  <si>
    <t>S0070</t>
  </si>
  <si>
    <t>S0080</t>
  </si>
  <si>
    <t>S0090</t>
  </si>
  <si>
    <t>S0100</t>
  </si>
  <si>
    <t>S0110</t>
  </si>
  <si>
    <t>S0120</t>
  </si>
  <si>
    <t>S0130</t>
  </si>
  <si>
    <t>S0140</t>
  </si>
  <si>
    <t>S0150</t>
  </si>
  <si>
    <t>S0160</t>
  </si>
  <si>
    <t>S0170</t>
  </si>
  <si>
    <t>S0180</t>
  </si>
  <si>
    <t>S0190</t>
  </si>
  <si>
    <t>S0200</t>
  </si>
  <si>
    <t>S0210</t>
  </si>
  <si>
    <t>S0220</t>
  </si>
  <si>
    <t>S0230</t>
  </si>
  <si>
    <t>S0240</t>
  </si>
  <si>
    <t>S0250</t>
  </si>
  <si>
    <t>S0260</t>
  </si>
  <si>
    <t>S0270</t>
  </si>
  <si>
    <t>S0280</t>
  </si>
  <si>
    <t>S0290</t>
  </si>
  <si>
    <t>S0300</t>
  </si>
  <si>
    <t>S0310</t>
  </si>
  <si>
    <t>S0320</t>
  </si>
  <si>
    <t>S0330</t>
  </si>
  <si>
    <t>S0340</t>
  </si>
  <si>
    <t>S0350</t>
  </si>
  <si>
    <t>S0360</t>
  </si>
  <si>
    <t>S0370</t>
  </si>
  <si>
    <t>S0380</t>
  </si>
  <si>
    <t>S0390</t>
  </si>
  <si>
    <t>S0400</t>
  </si>
  <si>
    <t>S0410</t>
  </si>
  <si>
    <t>S0420</t>
  </si>
  <si>
    <t>S0430</t>
  </si>
  <si>
    <t>S0440</t>
  </si>
  <si>
    <t>S0450</t>
  </si>
  <si>
    <t>S0460</t>
  </si>
  <si>
    <t>S0470</t>
  </si>
  <si>
    <t>S0480</t>
  </si>
  <si>
    <t>S0490</t>
  </si>
  <si>
    <t>S0500</t>
  </si>
  <si>
    <t>S0510</t>
  </si>
  <si>
    <t>S0520</t>
  </si>
  <si>
    <t>S0530</t>
  </si>
  <si>
    <t>S0540</t>
  </si>
  <si>
    <t>S0550</t>
  </si>
  <si>
    <t>S0560</t>
  </si>
  <si>
    <t>S0570</t>
  </si>
  <si>
    <t>S0580</t>
  </si>
  <si>
    <t>S0590</t>
  </si>
  <si>
    <t>S0600</t>
  </si>
  <si>
    <t>S0610</t>
  </si>
  <si>
    <t>S0620</t>
  </si>
  <si>
    <t>S0630</t>
  </si>
  <si>
    <t>S0640</t>
  </si>
  <si>
    <t>S0650</t>
  </si>
  <si>
    <t>S0660</t>
  </si>
  <si>
    <t>S0670</t>
  </si>
  <si>
    <t>S0680</t>
  </si>
  <si>
    <t>S0690</t>
  </si>
  <si>
    <t>S0700</t>
  </si>
  <si>
    <t>S0710</t>
  </si>
  <si>
    <t>S0720</t>
  </si>
  <si>
    <t>S0730</t>
  </si>
  <si>
    <t>목표변수 이해 및 특성 분석의 적절성
통계,그래프 기법을 활용한 EDA 적절성 및 결과 해석
비지도 학습(군집,연관규칙) 기법 검토 및 적용</t>
    <phoneticPr fontId="2" type="noConversion"/>
  </si>
  <si>
    <t>6(파생 필요)</t>
    <phoneticPr fontId="2" type="noConversion"/>
  </si>
  <si>
    <t>5(파생 필요)</t>
    <phoneticPr fontId="2" type="noConversion"/>
  </si>
  <si>
    <t>10,XXX</t>
    <phoneticPr fontId="2" type="noConversion"/>
  </si>
  <si>
    <t>#데이터 변경으로 현황정보 일부 변경됨</t>
    <phoneticPr fontId="2" type="noConversion"/>
  </si>
  <si>
    <t>85x,xxx</t>
    <phoneticPr fontId="2" type="noConversion"/>
  </si>
  <si>
    <t>2024-01</t>
  </si>
  <si>
    <t>U10001-O2023-1002</t>
    <phoneticPr fontId="2" type="noConversion"/>
  </si>
  <si>
    <t>06JAN2023:17:08:51</t>
    <phoneticPr fontId="2" type="noConversion"/>
  </si>
  <si>
    <t>07JAN2023:06:24:00</t>
    <phoneticPr fontId="2" type="noConversion"/>
  </si>
  <si>
    <t>L4-M17-S0530-1024</t>
    <phoneticPr fontId="2" type="noConversion"/>
  </si>
  <si>
    <t>20대</t>
    <phoneticPr fontId="2" type="noConversion"/>
  </si>
  <si>
    <t>L1</t>
    <phoneticPr fontId="2" type="noConversion"/>
  </si>
  <si>
    <t>S0080</t>
    <phoneticPr fontId="2" type="noConversion"/>
  </si>
  <si>
    <t>국수</t>
    <phoneticPr fontId="2" type="noConversion"/>
  </si>
  <si>
    <t>L1-M11-S0080-1001</t>
    <phoneticPr fontId="2" type="noConversion"/>
  </si>
  <si>
    <t>(식품)샘표 김치국수 101g 10입</t>
    <phoneticPr fontId="2" type="noConversion"/>
  </si>
  <si>
    <t>2023~2025년 주문정보</t>
    <phoneticPr fontId="2" type="noConversion"/>
  </si>
  <si>
    <t>주문고객(2025년 기준)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</si>
</sst>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0.0"/>
    <numFmt numFmtId="177" formatCode="0.0%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73">
    <xf numFmtId="0" fontId="0" fillId="0" borderId="0" xfId="0">
      <alignment vertical="center"/>
    </xf>
    <xf numFmtId="0" fontId="3" fillId="0" borderId="0" xfId="0" applyFont="1" applyAlignment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1" fontId="3" fillId="3" borderId="1" xfId="2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0" fillId="0" borderId="0" xfId="1" applyFo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0" fillId="0" borderId="0" xfId="0" applyFont="1">
      <alignment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41" fontId="0" fillId="6" borderId="1" xfId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/>
    <xf numFmtId="22" fontId="0" fillId="0" borderId="1" xfId="0" applyNumberFormat="1" applyBorder="1">
      <alignment vertical="center"/>
    </xf>
    <xf numFmtId="41" fontId="0" fillId="0" borderId="0" xfId="0" applyNumberFormat="1">
      <alignment vertical="center"/>
    </xf>
    <xf numFmtId="177" fontId="0" fillId="0" borderId="0" xfId="4" applyNumberFormat="1" applyFont="1">
      <alignment vertical="center"/>
    </xf>
    <xf numFmtId="0" fontId="0" fillId="0" borderId="0" xfId="0" applyAlignment="1">
      <alignment horizontal="left" vertical="center"/>
    </xf>
    <xf numFmtId="0" fontId="0" fillId="4" borderId="1" xfId="0" applyFill="1" applyBorder="1">
      <alignment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177" fontId="0" fillId="0" borderId="1" xfId="4" applyNumberFormat="1" applyFont="1" applyBorder="1" applyAlignment="1">
      <alignment vertical="center" wrapText="1"/>
    </xf>
    <xf numFmtId="41" fontId="0" fillId="0" borderId="1" xfId="1" applyFont="1" applyBorder="1" applyAlignment="1">
      <alignment vertical="top" wrapText="1"/>
    </xf>
    <xf numFmtId="177" fontId="9" fillId="0" borderId="1" xfId="4" applyNumberFormat="1" applyFont="1" applyBorder="1" applyAlignment="1">
      <alignment vertical="center" wrapText="1"/>
    </xf>
    <xf numFmtId="41" fontId="9" fillId="0" borderId="1" xfId="1" applyFont="1" applyBorder="1" applyAlignment="1">
      <alignment vertical="top" wrapText="1"/>
    </xf>
    <xf numFmtId="177" fontId="0" fillId="4" borderId="1" xfId="4" applyNumberFormat="1" applyFont="1" applyFill="1" applyBorder="1" applyAlignment="1">
      <alignment vertical="center" wrapText="1"/>
    </xf>
    <xf numFmtId="41" fontId="0" fillId="4" borderId="1" xfId="1" applyFont="1" applyFill="1" applyBorder="1" applyAlignment="1">
      <alignment vertical="top" wrapText="1"/>
    </xf>
    <xf numFmtId="0" fontId="12" fillId="0" borderId="0" xfId="0" applyFont="1">
      <alignment vertical="center"/>
    </xf>
    <xf numFmtId="41" fontId="0" fillId="0" borderId="0" xfId="0" applyNumberFormat="1" applyAlignment="1">
      <alignment horizontal="left"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5" borderId="1" xfId="0" applyFill="1" applyBorder="1">
      <alignment vertical="center"/>
    </xf>
    <xf numFmtId="0" fontId="9" fillId="0" borderId="0" xfId="0" applyFont="1">
      <alignment vertical="center"/>
    </xf>
    <xf numFmtId="0" fontId="0" fillId="7" borderId="1" xfId="0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>
      <alignment vertical="center"/>
    </xf>
    <xf numFmtId="17" fontId="0" fillId="7" borderId="1" xfId="0" quotePrefix="1" applyNumberFormat="1" applyFill="1" applyBorder="1">
      <alignment vertical="center"/>
    </xf>
    <xf numFmtId="0" fontId="0" fillId="7" borderId="1" xfId="0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/>
    <xf numFmtId="22" fontId="0" fillId="7" borderId="1" xfId="0" applyNumberFormat="1" applyFill="1" applyBorder="1">
      <alignment vertical="center"/>
    </xf>
    <xf numFmtId="41" fontId="0" fillId="7" borderId="1" xfId="1" applyFont="1" applyFill="1" applyBorder="1">
      <alignment vertical="center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8">
    <cellStyle name="백분율" xfId="4" builtinId="5"/>
    <cellStyle name="백분율 2" xfId="6" xr:uid="{58BEC408-E9B4-418C-8148-50CD449606D9}"/>
    <cellStyle name="쉼표 [0]" xfId="1" builtinId="6"/>
    <cellStyle name="쉼표 [0] 2" xfId="2" xr:uid="{00000000-0005-0000-0000-000002000000}"/>
    <cellStyle name="표준" xfId="0" builtinId="0"/>
    <cellStyle name="표준 2" xfId="3" xr:uid="{00000000-0005-0000-0000-000004000000}"/>
    <cellStyle name="표준 3" xfId="5" xr:uid="{F50CB40E-ADBC-49B9-A8C5-09F9F13B222D}"/>
    <cellStyle name="표준 5" xfId="7" xr:uid="{AEE2EC6F-1E1E-4D47-842A-AFF7396EE801}"/>
  </cellStyles>
  <dxfs count="0"/>
  <tableStyles count="1" defaultTableStyle="TableStyleMedium2" defaultPivotStyle="PivotStyleLight16">
    <tableStyle name="Invisible" pivot="0" table="0" count="0" xr9:uid="{54A1B7B0-9474-4234-9333-F5E6FC425E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20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12" Type="http://schemas.openxmlformats.org/officeDocument/2006/relationships/image" Target="../media/image19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5" Type="http://schemas.openxmlformats.org/officeDocument/2006/relationships/image" Target="../media/image2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Relationship Id="rId14" Type="http://schemas.openxmlformats.org/officeDocument/2006/relationships/image" Target="../media/image2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11</xdr:col>
      <xdr:colOff>133516</xdr:colOff>
      <xdr:row>22</xdr:row>
      <xdr:rowOff>61486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917109-E180-56B3-AD18-26EC43347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0226" y="396815"/>
          <a:ext cx="6344535" cy="402963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16</xdr:col>
      <xdr:colOff>322002</xdr:colOff>
      <xdr:row>37</xdr:row>
      <xdr:rowOff>95797</xdr:rowOff>
    </xdr:to>
    <xdr:pic>
      <xdr:nvPicPr>
        <xdr:cNvPr id="3" name="table">
          <a:extLst>
            <a:ext uri="{FF2B5EF4-FFF2-40B4-BE49-F238E27FC236}">
              <a16:creationId xmlns:a16="http://schemas.microsoft.com/office/drawing/2014/main" id="{1D62B624-BEDC-9C5F-0F87-A4F569FC7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0226" y="5158596"/>
          <a:ext cx="9983587" cy="2278280"/>
        </a:xfrm>
        <a:prstGeom prst="rect">
          <a:avLst/>
        </a:prstGeom>
      </xdr:spPr>
    </xdr:pic>
    <xdr:clientData/>
  </xdr:twoCellAnchor>
  <xdr:twoCellAnchor editAs="oneCell">
    <xdr:from>
      <xdr:col>12</xdr:col>
      <xdr:colOff>8</xdr:colOff>
      <xdr:row>2</xdr:row>
      <xdr:rowOff>0</xdr:rowOff>
    </xdr:from>
    <xdr:to>
      <xdr:col>19</xdr:col>
      <xdr:colOff>552552</xdr:colOff>
      <xdr:row>17</xdr:row>
      <xdr:rowOff>83887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77BA58D-E5C1-7871-F522-45B5805BA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1366" y="396815"/>
          <a:ext cx="5383337" cy="3060000"/>
        </a:xfrm>
        <a:prstGeom prst="rect">
          <a:avLst/>
        </a:prstGeom>
      </xdr:spPr>
    </xdr:pic>
    <xdr:clientData/>
  </xdr:twoCellAnchor>
  <xdr:twoCellAnchor editAs="oneCell">
    <xdr:from>
      <xdr:col>20</xdr:col>
      <xdr:colOff>276066</xdr:colOff>
      <xdr:row>2</xdr:row>
      <xdr:rowOff>0</xdr:rowOff>
    </xdr:from>
    <xdr:to>
      <xdr:col>26</xdr:col>
      <xdr:colOff>657045</xdr:colOff>
      <xdr:row>26</xdr:row>
      <xdr:rowOff>30702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EA74E24-5FEE-4D30-8E45-541A97BB4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78330" y="396815"/>
          <a:ext cx="4521658" cy="489600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14</xdr:rowOff>
    </xdr:from>
    <xdr:to>
      <xdr:col>34</xdr:col>
      <xdr:colOff>647321</xdr:colOff>
      <xdr:row>11</xdr:row>
      <xdr:rowOff>193586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763A981-251E-8F91-D8BA-430AD2231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323170" y="396829"/>
          <a:ext cx="4788000" cy="197924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</xdr:row>
      <xdr:rowOff>0</xdr:rowOff>
    </xdr:from>
    <xdr:to>
      <xdr:col>35</xdr:col>
      <xdr:colOff>276407</xdr:colOff>
      <xdr:row>26</xdr:row>
      <xdr:rowOff>53185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3541486-A568-3C98-2E6D-73F461B56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23170" y="2579298"/>
          <a:ext cx="5107199" cy="2736000"/>
        </a:xfrm>
        <a:prstGeom prst="rect">
          <a:avLst/>
        </a:prstGeom>
      </xdr:spPr>
    </xdr:pic>
    <xdr:clientData/>
  </xdr:twoCellAnchor>
  <xdr:twoCellAnchor editAs="oneCell">
    <xdr:from>
      <xdr:col>36</xdr:col>
      <xdr:colOff>14</xdr:colOff>
      <xdr:row>13</xdr:row>
      <xdr:rowOff>0</xdr:rowOff>
    </xdr:from>
    <xdr:to>
      <xdr:col>42</xdr:col>
      <xdr:colOff>109896</xdr:colOff>
      <xdr:row>25</xdr:row>
      <xdr:rowOff>247109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AA238A6-7E98-B434-C0D4-BB92883A1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844089" y="2579298"/>
          <a:ext cx="4250562" cy="262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6</xdr:col>
      <xdr:colOff>583905</xdr:colOff>
      <xdr:row>10</xdr:row>
      <xdr:rowOff>50459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AB5FB003-5E81-5B4E-E990-9022FDC54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113" y="396815"/>
          <a:ext cx="4028756" cy="16132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9</xdr:col>
      <xdr:colOff>441280</xdr:colOff>
      <xdr:row>20</xdr:row>
      <xdr:rowOff>162631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70E3B21A-0245-765F-FCA8-1638A1250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113" y="2182483"/>
          <a:ext cx="5969806" cy="21308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6</xdr:col>
      <xdr:colOff>583905</xdr:colOff>
      <xdr:row>32</xdr:row>
      <xdr:rowOff>64920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EA64D9C-0043-1FBB-8CDA-14324BA1C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0113" y="4563374"/>
          <a:ext cx="4028756" cy="1846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9</xdr:col>
      <xdr:colOff>441280</xdr:colOff>
      <xdr:row>46</xdr:row>
      <xdr:rowOff>155392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DD044A44-E85F-4117-44FF-D45A9E659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0113" y="6944264"/>
          <a:ext cx="5969806" cy="21308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6</xdr:col>
      <xdr:colOff>583905</xdr:colOff>
      <xdr:row>57</xdr:row>
      <xdr:rowOff>22158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ED3812C4-8107-AC22-1638-1BFB7BD85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0113" y="9523562"/>
          <a:ext cx="4028756" cy="161322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30</xdr:col>
      <xdr:colOff>531005</xdr:colOff>
      <xdr:row>12</xdr:row>
      <xdr:rowOff>48934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90E81741-E39E-863D-A324-5B29AF509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91245" y="595223"/>
          <a:ext cx="4123652" cy="161322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</xdr:row>
      <xdr:rowOff>0</xdr:rowOff>
    </xdr:from>
    <xdr:to>
      <xdr:col>31</xdr:col>
      <xdr:colOff>488</xdr:colOff>
      <xdr:row>26</xdr:row>
      <xdr:rowOff>308172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9A390E6E-C708-9DD6-4151-0EB8DBC4C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91245" y="2579298"/>
          <a:ext cx="4278936" cy="2872753"/>
        </a:xfrm>
        <a:prstGeom prst="rect">
          <a:avLst/>
        </a:prstGeom>
      </xdr:spPr>
    </xdr:pic>
    <xdr:clientData/>
  </xdr:twoCellAnchor>
  <xdr:twoCellAnchor editAs="oneCell">
    <xdr:from>
      <xdr:col>10</xdr:col>
      <xdr:colOff>86264</xdr:colOff>
      <xdr:row>80</xdr:row>
      <xdr:rowOff>172528</xdr:rowOff>
    </xdr:from>
    <xdr:to>
      <xdr:col>20</xdr:col>
      <xdr:colOff>772351</xdr:colOff>
      <xdr:row>104</xdr:row>
      <xdr:rowOff>154609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48CBF919-FE82-44BB-8F8C-088FFEBA3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87396" y="16467826"/>
          <a:ext cx="8754697" cy="4743863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</xdr:row>
      <xdr:rowOff>1</xdr:rowOff>
    </xdr:from>
    <xdr:to>
      <xdr:col>55</xdr:col>
      <xdr:colOff>339351</xdr:colOff>
      <xdr:row>30</xdr:row>
      <xdr:rowOff>96873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56C9444E-0FF9-68BF-BCF7-03DEA41B5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428687" y="500333"/>
          <a:ext cx="7344000" cy="6237981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48</xdr:row>
      <xdr:rowOff>30</xdr:rowOff>
    </xdr:from>
    <xdr:to>
      <xdr:col>45</xdr:col>
      <xdr:colOff>590122</xdr:colOff>
      <xdr:row>75</xdr:row>
      <xdr:rowOff>167711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82D58CEB-A395-46D1-AEED-C7183BCEF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714679" y="10222332"/>
          <a:ext cx="10152000" cy="5520875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39</xdr:row>
      <xdr:rowOff>0</xdr:rowOff>
    </xdr:from>
    <xdr:to>
      <xdr:col>54</xdr:col>
      <xdr:colOff>593959</xdr:colOff>
      <xdr:row>75</xdr:row>
      <xdr:rowOff>55423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2B499ADA-F592-449D-846A-AF46856BB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428687" y="8436634"/>
          <a:ext cx="6916115" cy="7201905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81</xdr:row>
      <xdr:rowOff>0</xdr:rowOff>
    </xdr:from>
    <xdr:to>
      <xdr:col>53</xdr:col>
      <xdr:colOff>392407</xdr:colOff>
      <xdr:row>103</xdr:row>
      <xdr:rowOff>97166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2FCA145D-169C-B6FB-E5B8-5A7EA006C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428687" y="16769751"/>
          <a:ext cx="6011114" cy="4458322"/>
        </a:xfrm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14</xdr:row>
      <xdr:rowOff>0</xdr:rowOff>
    </xdr:from>
    <xdr:to>
      <xdr:col>66</xdr:col>
      <xdr:colOff>332072</xdr:colOff>
      <xdr:row>29</xdr:row>
      <xdr:rowOff>37498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914658C0-F8BD-E4E5-4D05-4C524D957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7264128" y="3079630"/>
          <a:ext cx="5858693" cy="3410426"/>
        </a:xfrm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33</xdr:row>
      <xdr:rowOff>0</xdr:rowOff>
    </xdr:from>
    <xdr:to>
      <xdr:col>68</xdr:col>
      <xdr:colOff>98885</xdr:colOff>
      <xdr:row>52</xdr:row>
      <xdr:rowOff>132242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D56D2154-9253-65D3-721F-899D55D9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264128" y="7246189"/>
          <a:ext cx="7763958" cy="3905795"/>
        </a:xfrm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57</xdr:row>
      <xdr:rowOff>0</xdr:rowOff>
    </xdr:from>
    <xdr:to>
      <xdr:col>68</xdr:col>
      <xdr:colOff>512328</xdr:colOff>
      <xdr:row>79</xdr:row>
      <xdr:rowOff>173377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86A7EED8-E87F-4429-AD28-2EA2A2628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264128" y="12007970"/>
          <a:ext cx="8173591" cy="4534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zoomScaleNormal="100" workbookViewId="0">
      <selection activeCell="B8" sqref="B8"/>
    </sheetView>
  </sheetViews>
  <sheetFormatPr defaultColWidth="9" defaultRowHeight="17.399999999999999"/>
  <cols>
    <col min="1" max="1" width="12.8984375" customWidth="1"/>
    <col min="2" max="2" width="24.69921875" customWidth="1"/>
    <col min="3" max="3" width="14.59765625" style="6" customWidth="1"/>
    <col min="4" max="4" width="12.3984375" style="6" bestFit="1" customWidth="1"/>
    <col min="5" max="5" width="40.8984375" bestFit="1" customWidth="1"/>
    <col min="8" max="8" width="19.8984375" customWidth="1"/>
  </cols>
  <sheetData>
    <row r="1" spans="1:5">
      <c r="A1" s="7" t="s">
        <v>1</v>
      </c>
      <c r="B1" s="7" t="s">
        <v>11</v>
      </c>
      <c r="C1" s="8" t="s">
        <v>12</v>
      </c>
      <c r="D1" s="8" t="s">
        <v>13</v>
      </c>
      <c r="E1" s="8" t="s">
        <v>14</v>
      </c>
    </row>
    <row r="2" spans="1:5">
      <c r="A2" s="20" t="s">
        <v>121</v>
      </c>
      <c r="B2" s="20" t="s">
        <v>180</v>
      </c>
      <c r="C2" s="21">
        <v>11</v>
      </c>
      <c r="D2" s="22" t="s">
        <v>545</v>
      </c>
      <c r="E2" s="20" t="s">
        <v>272</v>
      </c>
    </row>
    <row r="3" spans="1:5">
      <c r="A3" s="20" t="s">
        <v>267</v>
      </c>
      <c r="B3" s="20" t="s">
        <v>181</v>
      </c>
      <c r="C3" s="21" t="s">
        <v>543</v>
      </c>
      <c r="D3" s="22" t="s">
        <v>547</v>
      </c>
      <c r="E3" s="20" t="s">
        <v>559</v>
      </c>
    </row>
    <row r="4" spans="1:5">
      <c r="A4" s="20" t="s">
        <v>120</v>
      </c>
      <c r="B4" s="20" t="s">
        <v>122</v>
      </c>
      <c r="C4" s="21" t="s">
        <v>544</v>
      </c>
      <c r="D4" s="22">
        <v>3000</v>
      </c>
      <c r="E4" s="20" t="s">
        <v>560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tabSelected="1" zoomScaleNormal="100" workbookViewId="0">
      <pane ySplit="1" topLeftCell="A31" activePane="bottomLeft" state="frozen"/>
      <selection pane="bottomLeft" activeCell="E44" sqref="E44"/>
    </sheetView>
  </sheetViews>
  <sheetFormatPr defaultRowHeight="17.399999999999999"/>
  <cols>
    <col min="1" max="1" width="11.59765625" bestFit="1" customWidth="1"/>
    <col min="2" max="2" width="18.69921875" bestFit="1" customWidth="1"/>
    <col min="3" max="3" width="21" customWidth="1"/>
    <col min="4" max="4" width="10" style="6" bestFit="1" customWidth="1"/>
    <col min="5" max="5" width="39.19921875" customWidth="1"/>
    <col min="6" max="6" width="27" customWidth="1"/>
    <col min="13" max="13" width="20.69921875" customWidth="1"/>
    <col min="14" max="14" width="13.09765625" customWidth="1"/>
    <col min="15" max="15" width="12.19921875" customWidth="1"/>
  </cols>
  <sheetData>
    <row r="1" spans="1:6">
      <c r="A1" s="7" t="s">
        <v>1</v>
      </c>
      <c r="B1" s="7" t="s">
        <v>2</v>
      </c>
      <c r="C1" s="7" t="s">
        <v>3</v>
      </c>
      <c r="D1" s="7" t="s">
        <v>4</v>
      </c>
      <c r="E1" s="7" t="s">
        <v>15</v>
      </c>
      <c r="F1" s="7" t="s">
        <v>5</v>
      </c>
    </row>
    <row r="2" spans="1:6">
      <c r="A2" s="23" t="s">
        <v>121</v>
      </c>
      <c r="B2" s="25" t="s">
        <v>109</v>
      </c>
      <c r="C2" s="5" t="s">
        <v>102</v>
      </c>
      <c r="D2" s="16" t="s">
        <v>52</v>
      </c>
      <c r="E2" s="28" t="s">
        <v>554</v>
      </c>
      <c r="F2" s="5"/>
    </row>
    <row r="3" spans="1:6">
      <c r="A3" s="23" t="s">
        <v>121</v>
      </c>
      <c r="B3" s="25" t="s">
        <v>110</v>
      </c>
      <c r="C3" s="5" t="s">
        <v>103</v>
      </c>
      <c r="D3" s="16" t="s">
        <v>52</v>
      </c>
      <c r="E3" s="28" t="s">
        <v>281</v>
      </c>
      <c r="F3" s="5"/>
    </row>
    <row r="4" spans="1:6">
      <c r="A4" s="23" t="s">
        <v>121</v>
      </c>
      <c r="B4" s="25" t="s">
        <v>111</v>
      </c>
      <c r="C4" s="5" t="s">
        <v>104</v>
      </c>
      <c r="D4" s="16" t="s">
        <v>52</v>
      </c>
      <c r="E4" s="28" t="s">
        <v>455</v>
      </c>
      <c r="F4" s="5"/>
    </row>
    <row r="5" spans="1:6">
      <c r="A5" s="23" t="s">
        <v>121</v>
      </c>
      <c r="B5" s="25" t="s">
        <v>112</v>
      </c>
      <c r="C5" s="5" t="s">
        <v>105</v>
      </c>
      <c r="D5" s="16" t="s">
        <v>52</v>
      </c>
      <c r="E5" s="28" t="s">
        <v>354</v>
      </c>
      <c r="F5" s="5"/>
    </row>
    <row r="6" spans="1:6">
      <c r="A6" s="23" t="s">
        <v>121</v>
      </c>
      <c r="B6" s="25" t="s">
        <v>113</v>
      </c>
      <c r="C6" s="5" t="s">
        <v>106</v>
      </c>
      <c r="D6" s="16" t="s">
        <v>52</v>
      </c>
      <c r="E6" s="28" t="s">
        <v>555</v>
      </c>
      <c r="F6" s="5"/>
    </row>
    <row r="7" spans="1:6">
      <c r="A7" s="23" t="s">
        <v>121</v>
      </c>
      <c r="B7" s="25" t="s">
        <v>114</v>
      </c>
      <c r="C7" s="5" t="s">
        <v>107</v>
      </c>
      <c r="D7" s="16" t="s">
        <v>52</v>
      </c>
      <c r="E7" s="28" t="s">
        <v>556</v>
      </c>
      <c r="F7" s="5"/>
    </row>
    <row r="8" spans="1:6">
      <c r="A8" s="23" t="s">
        <v>121</v>
      </c>
      <c r="B8" s="25" t="s">
        <v>115</v>
      </c>
      <c r="C8" s="5" t="s">
        <v>169</v>
      </c>
      <c r="D8" s="16" t="s">
        <v>52</v>
      </c>
      <c r="E8" s="28" t="s">
        <v>557</v>
      </c>
      <c r="F8" s="5"/>
    </row>
    <row r="9" spans="1:6">
      <c r="A9" s="23" t="s">
        <v>121</v>
      </c>
      <c r="B9" s="5" t="s">
        <v>108</v>
      </c>
      <c r="C9" s="5" t="s">
        <v>170</v>
      </c>
      <c r="D9" s="16" t="s">
        <v>52</v>
      </c>
      <c r="E9" s="28" t="s">
        <v>558</v>
      </c>
      <c r="F9" s="5"/>
    </row>
    <row r="10" spans="1:6">
      <c r="A10" s="23" t="s">
        <v>121</v>
      </c>
      <c r="B10" s="5" t="s">
        <v>168</v>
      </c>
      <c r="C10" s="5" t="s">
        <v>179</v>
      </c>
      <c r="D10" s="16" t="s">
        <v>53</v>
      </c>
      <c r="E10" s="34">
        <v>2023</v>
      </c>
      <c r="F10" s="5"/>
    </row>
    <row r="11" spans="1:6">
      <c r="A11" s="23" t="s">
        <v>121</v>
      </c>
      <c r="B11" s="5" t="s">
        <v>161</v>
      </c>
      <c r="C11" s="5" t="s">
        <v>270</v>
      </c>
      <c r="D11" s="16" t="s">
        <v>53</v>
      </c>
      <c r="E11" s="35">
        <v>15840</v>
      </c>
      <c r="F11" s="28"/>
    </row>
    <row r="12" spans="1:6">
      <c r="A12" s="23" t="s">
        <v>121</v>
      </c>
      <c r="B12" s="5" t="s">
        <v>162</v>
      </c>
      <c r="C12" s="5" t="s">
        <v>271</v>
      </c>
      <c r="D12" s="16" t="s">
        <v>53</v>
      </c>
      <c r="E12" s="35">
        <v>16130</v>
      </c>
      <c r="F12" s="5"/>
    </row>
    <row r="13" spans="1:6">
      <c r="A13" s="5"/>
      <c r="B13" s="5"/>
      <c r="C13" s="5"/>
      <c r="D13" s="13"/>
      <c r="E13" s="5"/>
      <c r="F13" s="5"/>
    </row>
    <row r="14" spans="1:6">
      <c r="A14" s="5" t="s">
        <v>267</v>
      </c>
      <c r="B14" s="5" t="s">
        <v>55</v>
      </c>
      <c r="C14" s="5" t="s">
        <v>9</v>
      </c>
      <c r="D14" s="13" t="s">
        <v>52</v>
      </c>
      <c r="E14" s="5" t="s">
        <v>60</v>
      </c>
      <c r="F14" s="5"/>
    </row>
    <row r="15" spans="1:6">
      <c r="A15" s="5" t="s">
        <v>267</v>
      </c>
      <c r="B15" s="5" t="s">
        <v>130</v>
      </c>
      <c r="C15" s="5" t="s">
        <v>59</v>
      </c>
      <c r="D15" s="13" t="s">
        <v>52</v>
      </c>
      <c r="E15" s="5" t="s">
        <v>549</v>
      </c>
      <c r="F15" s="5"/>
    </row>
    <row r="16" spans="1:6">
      <c r="A16" s="5" t="s">
        <v>267</v>
      </c>
      <c r="B16" s="5" t="s">
        <v>265</v>
      </c>
      <c r="C16" s="5" t="s">
        <v>61</v>
      </c>
      <c r="D16" s="13" t="s">
        <v>54</v>
      </c>
      <c r="E16" s="29" t="s">
        <v>550</v>
      </c>
      <c r="F16" s="5"/>
    </row>
    <row r="17" spans="1:6">
      <c r="A17" s="50" t="s">
        <v>267</v>
      </c>
      <c r="B17" s="50" t="s">
        <v>268</v>
      </c>
      <c r="C17" s="50" t="s">
        <v>135</v>
      </c>
      <c r="D17" s="51" t="s">
        <v>62</v>
      </c>
      <c r="E17" s="52">
        <v>45292</v>
      </c>
      <c r="F17" s="27" t="s">
        <v>262</v>
      </c>
    </row>
    <row r="18" spans="1:6">
      <c r="A18" s="50" t="s">
        <v>267</v>
      </c>
      <c r="B18" s="50" t="s">
        <v>131</v>
      </c>
      <c r="C18" s="50" t="s">
        <v>136</v>
      </c>
      <c r="D18" s="51" t="s">
        <v>52</v>
      </c>
      <c r="E18" s="50">
        <v>2024</v>
      </c>
      <c r="F18" s="27" t="s">
        <v>262</v>
      </c>
    </row>
    <row r="19" spans="1:6">
      <c r="A19" s="50" t="s">
        <v>267</v>
      </c>
      <c r="B19" s="50" t="s">
        <v>269</v>
      </c>
      <c r="C19" s="50" t="s">
        <v>137</v>
      </c>
      <c r="D19" s="51" t="s">
        <v>52</v>
      </c>
      <c r="E19" s="53" t="s">
        <v>548</v>
      </c>
      <c r="F19" s="27" t="s">
        <v>262</v>
      </c>
    </row>
    <row r="20" spans="1:6" hidden="1">
      <c r="A20" s="50" t="s">
        <v>267</v>
      </c>
      <c r="B20" s="50" t="s">
        <v>132</v>
      </c>
      <c r="C20" s="50" t="s">
        <v>138</v>
      </c>
      <c r="D20" s="51" t="s">
        <v>53</v>
      </c>
      <c r="E20" s="50">
        <v>1</v>
      </c>
      <c r="F20" s="27" t="s">
        <v>262</v>
      </c>
    </row>
    <row r="21" spans="1:6" hidden="1">
      <c r="A21" s="50" t="s">
        <v>267</v>
      </c>
      <c r="B21" s="50" t="s">
        <v>186</v>
      </c>
      <c r="C21" s="50" t="s">
        <v>187</v>
      </c>
      <c r="D21" s="51" t="s">
        <v>53</v>
      </c>
      <c r="E21" s="50">
        <v>12</v>
      </c>
      <c r="F21" s="27" t="s">
        <v>262</v>
      </c>
    </row>
    <row r="22" spans="1:6">
      <c r="A22" s="50" t="s">
        <v>267</v>
      </c>
      <c r="B22" s="50" t="s">
        <v>133</v>
      </c>
      <c r="C22" s="50" t="s">
        <v>139</v>
      </c>
      <c r="D22" s="51" t="s">
        <v>52</v>
      </c>
      <c r="E22" s="50" t="s">
        <v>10</v>
      </c>
      <c r="F22" s="27" t="s">
        <v>262</v>
      </c>
    </row>
    <row r="23" spans="1:6">
      <c r="A23" s="50" t="s">
        <v>267</v>
      </c>
      <c r="B23" s="50" t="s">
        <v>134</v>
      </c>
      <c r="C23" s="50" t="s">
        <v>140</v>
      </c>
      <c r="D23" s="51" t="s">
        <v>52</v>
      </c>
      <c r="E23" s="50">
        <v>22</v>
      </c>
      <c r="F23" s="27" t="s">
        <v>262</v>
      </c>
    </row>
    <row r="24" spans="1:6">
      <c r="A24" s="50" t="s">
        <v>267</v>
      </c>
      <c r="B24" s="55" t="s">
        <v>110</v>
      </c>
      <c r="C24" s="50" t="s">
        <v>103</v>
      </c>
      <c r="D24" s="56" t="s">
        <v>52</v>
      </c>
      <c r="E24" s="57" t="s">
        <v>126</v>
      </c>
      <c r="F24" s="27" t="s">
        <v>261</v>
      </c>
    </row>
    <row r="25" spans="1:6">
      <c r="A25" s="50" t="s">
        <v>267</v>
      </c>
      <c r="B25" s="55" t="s">
        <v>112</v>
      </c>
      <c r="C25" s="50" t="s">
        <v>105</v>
      </c>
      <c r="D25" s="56" t="s">
        <v>52</v>
      </c>
      <c r="E25" s="57" t="s">
        <v>127</v>
      </c>
      <c r="F25" s="27" t="s">
        <v>261</v>
      </c>
    </row>
    <row r="26" spans="1:6">
      <c r="A26" s="50" t="s">
        <v>267</v>
      </c>
      <c r="B26" s="55" t="s">
        <v>114</v>
      </c>
      <c r="C26" s="50" t="s">
        <v>107</v>
      </c>
      <c r="D26" s="56" t="s">
        <v>52</v>
      </c>
      <c r="E26" s="57" t="s">
        <v>128</v>
      </c>
      <c r="F26" s="27" t="s">
        <v>261</v>
      </c>
    </row>
    <row r="27" spans="1:6">
      <c r="A27" s="5" t="s">
        <v>267</v>
      </c>
      <c r="B27" s="5" t="s">
        <v>115</v>
      </c>
      <c r="C27" s="5" t="s">
        <v>185</v>
      </c>
      <c r="D27" s="13" t="s">
        <v>52</v>
      </c>
      <c r="E27" s="28" t="s">
        <v>552</v>
      </c>
      <c r="F27" s="27"/>
    </row>
    <row r="28" spans="1:6">
      <c r="A28" s="50" t="s">
        <v>267</v>
      </c>
      <c r="B28" s="50" t="s">
        <v>51</v>
      </c>
      <c r="C28" s="50" t="s">
        <v>171</v>
      </c>
      <c r="D28" s="51" t="s">
        <v>52</v>
      </c>
      <c r="E28" s="57" t="s">
        <v>129</v>
      </c>
      <c r="F28" s="27" t="s">
        <v>261</v>
      </c>
    </row>
    <row r="29" spans="1:6">
      <c r="A29" s="5" t="s">
        <v>267</v>
      </c>
      <c r="B29" s="5" t="s">
        <v>182</v>
      </c>
      <c r="C29" s="5" t="s">
        <v>188</v>
      </c>
      <c r="D29" s="13" t="s">
        <v>53</v>
      </c>
      <c r="E29" s="28">
        <v>33310</v>
      </c>
      <c r="F29" s="5" t="s">
        <v>189</v>
      </c>
    </row>
    <row r="30" spans="1:6">
      <c r="A30" s="5" t="s">
        <v>267</v>
      </c>
      <c r="B30" s="5" t="s">
        <v>266</v>
      </c>
      <c r="C30" s="5" t="s">
        <v>144</v>
      </c>
      <c r="D30" s="13" t="s">
        <v>54</v>
      </c>
      <c r="E30" s="29" t="s">
        <v>551</v>
      </c>
      <c r="F30" s="5"/>
    </row>
    <row r="31" spans="1:6">
      <c r="A31" s="50" t="s">
        <v>267</v>
      </c>
      <c r="B31" s="50" t="s">
        <v>154</v>
      </c>
      <c r="C31" s="50" t="s">
        <v>155</v>
      </c>
      <c r="D31" s="51" t="s">
        <v>52</v>
      </c>
      <c r="E31" s="58" t="s">
        <v>143</v>
      </c>
      <c r="F31" s="27" t="s">
        <v>262</v>
      </c>
    </row>
    <row r="32" spans="1:6">
      <c r="A32" s="50" t="s">
        <v>267</v>
      </c>
      <c r="B32" s="50" t="s">
        <v>263</v>
      </c>
      <c r="C32" s="50" t="s">
        <v>264</v>
      </c>
      <c r="D32" s="51" t="s">
        <v>53</v>
      </c>
      <c r="E32" s="59">
        <v>63</v>
      </c>
      <c r="F32" s="27" t="s">
        <v>262</v>
      </c>
    </row>
    <row r="33" spans="1:6">
      <c r="A33" s="5"/>
      <c r="B33" s="5"/>
      <c r="C33" s="5"/>
      <c r="D33" s="13"/>
      <c r="E33" s="5"/>
      <c r="F33" s="5"/>
    </row>
    <row r="34" spans="1:6">
      <c r="A34" s="23" t="s">
        <v>120</v>
      </c>
      <c r="B34" s="5" t="s">
        <v>55</v>
      </c>
      <c r="C34" s="24" t="s">
        <v>123</v>
      </c>
      <c r="D34" s="14" t="s">
        <v>52</v>
      </c>
      <c r="E34" s="5" t="s">
        <v>60</v>
      </c>
      <c r="F34" s="5"/>
    </row>
    <row r="35" spans="1:6">
      <c r="A35" s="23" t="s">
        <v>120</v>
      </c>
      <c r="B35" s="5" t="s">
        <v>151</v>
      </c>
      <c r="C35" s="24" t="s">
        <v>57</v>
      </c>
      <c r="D35" s="14" t="s">
        <v>52</v>
      </c>
      <c r="E35" s="5" t="s">
        <v>125</v>
      </c>
      <c r="F35" s="5"/>
    </row>
    <row r="36" spans="1:6">
      <c r="A36" s="23" t="s">
        <v>120</v>
      </c>
      <c r="B36" s="5" t="s">
        <v>152</v>
      </c>
      <c r="C36" s="24" t="s">
        <v>153</v>
      </c>
      <c r="D36" s="14" t="s">
        <v>53</v>
      </c>
      <c r="E36" s="5">
        <v>26</v>
      </c>
      <c r="F36" s="5"/>
    </row>
    <row r="37" spans="1:6">
      <c r="A37" s="54" t="s">
        <v>120</v>
      </c>
      <c r="B37" s="50" t="s">
        <v>56</v>
      </c>
      <c r="C37" s="60" t="s">
        <v>58</v>
      </c>
      <c r="D37" s="61" t="s">
        <v>52</v>
      </c>
      <c r="E37" s="50" t="s">
        <v>553</v>
      </c>
      <c r="F37" s="27" t="s">
        <v>183</v>
      </c>
    </row>
    <row r="38" spans="1:6">
      <c r="A38" s="23" t="s">
        <v>120</v>
      </c>
      <c r="B38" s="5" t="s">
        <v>148</v>
      </c>
      <c r="C38" s="25" t="s">
        <v>149</v>
      </c>
      <c r="D38" s="14" t="s">
        <v>53</v>
      </c>
      <c r="E38" s="5">
        <v>2</v>
      </c>
      <c r="F38" s="26" t="s">
        <v>150</v>
      </c>
    </row>
    <row r="39" spans="1:6">
      <c r="A39" s="23" t="s">
        <v>120</v>
      </c>
      <c r="B39" s="5" t="s">
        <v>142</v>
      </c>
      <c r="C39" s="25" t="s">
        <v>167</v>
      </c>
      <c r="D39" s="14" t="s">
        <v>52</v>
      </c>
      <c r="E39" s="5" t="s">
        <v>143</v>
      </c>
      <c r="F39" s="26"/>
    </row>
    <row r="40" spans="1:6">
      <c r="A40" s="54" t="s">
        <v>120</v>
      </c>
      <c r="B40" s="50" t="s">
        <v>124</v>
      </c>
      <c r="C40" s="55" t="s">
        <v>141</v>
      </c>
      <c r="D40" s="61" t="s">
        <v>52</v>
      </c>
      <c r="E40" s="50"/>
      <c r="F40" s="27" t="s">
        <v>184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9ECA-5B31-4929-9710-BBC5A2A43EB0}">
  <dimension ref="B2:O26"/>
  <sheetViews>
    <sheetView workbookViewId="0">
      <selection activeCell="A23" sqref="A23"/>
    </sheetView>
  </sheetViews>
  <sheetFormatPr defaultRowHeight="17.399999999999999"/>
  <sheetData>
    <row r="2" spans="2:2">
      <c r="B2" t="s">
        <v>117</v>
      </c>
    </row>
    <row r="24" spans="2:15">
      <c r="B24" t="s">
        <v>116</v>
      </c>
    </row>
    <row r="26" spans="2:15" ht="21">
      <c r="B26" s="19" t="s">
        <v>118</v>
      </c>
      <c r="O26" t="s">
        <v>119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zoomScaleNormal="100" workbookViewId="0">
      <selection activeCell="F37" sqref="F37"/>
    </sheetView>
  </sheetViews>
  <sheetFormatPr defaultRowHeight="17.399999999999999"/>
  <cols>
    <col min="1" max="1" width="4.69921875" customWidth="1"/>
    <col min="2" max="2" width="14.19921875" style="4" customWidth="1"/>
    <col min="3" max="3" width="13" style="4" customWidth="1"/>
    <col min="4" max="4" width="7.69921875" style="10" customWidth="1"/>
    <col min="5" max="5" width="24.69921875" style="4" customWidth="1"/>
    <col min="6" max="6" width="43.59765625" style="4" customWidth="1"/>
    <col min="7" max="7" width="54.69921875" style="4" customWidth="1"/>
    <col min="8" max="8" width="33.09765625" customWidth="1"/>
    <col min="9" max="9" width="60.09765625" customWidth="1"/>
    <col min="10" max="10" width="11.69921875" bestFit="1" customWidth="1"/>
    <col min="11" max="11" width="25.8984375" customWidth="1"/>
    <col min="12" max="12" width="25.09765625" customWidth="1"/>
  </cols>
  <sheetData>
    <row r="1" spans="1:9">
      <c r="A1" s="1" t="s">
        <v>63</v>
      </c>
      <c r="B1" s="2"/>
      <c r="E1" s="2"/>
      <c r="F1" s="2"/>
      <c r="G1" s="2"/>
    </row>
    <row r="2" spans="1:9">
      <c r="A2" s="1"/>
      <c r="B2" s="9" t="s">
        <v>16</v>
      </c>
      <c r="C2" s="9" t="s">
        <v>17</v>
      </c>
      <c r="D2" s="68" t="s">
        <v>18</v>
      </c>
      <c r="E2" s="68"/>
      <c r="F2" s="9" t="s">
        <v>19</v>
      </c>
      <c r="G2" s="9" t="s">
        <v>20</v>
      </c>
      <c r="H2" s="9" t="s">
        <v>21</v>
      </c>
    </row>
    <row r="3" spans="1:9">
      <c r="A3" s="1"/>
      <c r="B3" s="71" t="s">
        <v>73</v>
      </c>
      <c r="E3" s="3" t="s">
        <v>64</v>
      </c>
      <c r="F3" s="3" t="s">
        <v>156</v>
      </c>
      <c r="G3" s="2"/>
    </row>
    <row r="4" spans="1:9">
      <c r="A4" s="3"/>
      <c r="B4" s="71"/>
      <c r="E4" s="4" t="s">
        <v>6</v>
      </c>
      <c r="F4" s="4" t="s">
        <v>157</v>
      </c>
      <c r="G4" s="65"/>
    </row>
    <row r="5" spans="1:9">
      <c r="A5" s="3"/>
      <c r="B5" s="71"/>
      <c r="E5" s="4" t="s">
        <v>7</v>
      </c>
      <c r="F5" s="4" t="s">
        <v>65</v>
      </c>
      <c r="G5" s="65"/>
      <c r="H5" s="11" t="s">
        <v>29</v>
      </c>
    </row>
    <row r="6" spans="1:9">
      <c r="A6" s="3"/>
      <c r="B6" s="71"/>
      <c r="E6" s="4" t="s">
        <v>8</v>
      </c>
      <c r="F6" s="4" t="s">
        <v>67</v>
      </c>
      <c r="G6" s="65"/>
      <c r="H6" s="11"/>
    </row>
    <row r="7" spans="1:9">
      <c r="A7" s="3"/>
      <c r="B7" s="71"/>
      <c r="E7" s="4" t="s">
        <v>22</v>
      </c>
      <c r="F7" s="4" t="s">
        <v>90</v>
      </c>
      <c r="G7" s="66" t="s">
        <v>89</v>
      </c>
      <c r="H7" s="11" t="s">
        <v>30</v>
      </c>
    </row>
    <row r="8" spans="1:9">
      <c r="A8" s="3"/>
      <c r="B8" s="71" t="s">
        <v>23</v>
      </c>
      <c r="D8" s="10">
        <v>1.1000000000000001</v>
      </c>
      <c r="E8" s="4" t="s">
        <v>66</v>
      </c>
      <c r="F8" s="4" t="s">
        <v>68</v>
      </c>
      <c r="G8" s="67" t="s">
        <v>77</v>
      </c>
      <c r="H8" s="69" t="s">
        <v>69</v>
      </c>
    </row>
    <row r="9" spans="1:9">
      <c r="A9" s="3"/>
      <c r="B9" s="71"/>
      <c r="D9" s="10">
        <v>1.2</v>
      </c>
      <c r="E9" s="4" t="s">
        <v>24</v>
      </c>
      <c r="F9" s="4" t="s">
        <v>70</v>
      </c>
      <c r="G9" s="67"/>
      <c r="H9" s="69"/>
    </row>
    <row r="10" spans="1:9">
      <c r="A10" s="3"/>
      <c r="B10" s="71"/>
      <c r="D10" s="10">
        <v>1.2</v>
      </c>
      <c r="E10" s="4" t="s">
        <v>25</v>
      </c>
      <c r="F10" s="4" t="s">
        <v>26</v>
      </c>
      <c r="G10" s="70" t="s">
        <v>78</v>
      </c>
      <c r="H10" s="69"/>
    </row>
    <row r="11" spans="1:9">
      <c r="A11" s="3"/>
      <c r="B11" s="71"/>
      <c r="D11"/>
      <c r="E11"/>
      <c r="F11" s="4" t="s">
        <v>27</v>
      </c>
      <c r="G11" s="70"/>
      <c r="H11" s="69"/>
    </row>
    <row r="12" spans="1:9" ht="34.799999999999997">
      <c r="A12" s="3"/>
      <c r="B12" s="71"/>
      <c r="D12" s="10">
        <v>1.3</v>
      </c>
      <c r="E12" s="4" t="s">
        <v>28</v>
      </c>
      <c r="F12" s="4" t="s">
        <v>172</v>
      </c>
      <c r="G12" s="67" t="s">
        <v>79</v>
      </c>
      <c r="H12" s="69"/>
    </row>
    <row r="13" spans="1:9">
      <c r="A13" s="3"/>
      <c r="B13" s="71"/>
      <c r="D13" s="10">
        <v>1.4</v>
      </c>
      <c r="E13" s="4" t="s">
        <v>72</v>
      </c>
      <c r="F13" s="4" t="s">
        <v>31</v>
      </c>
      <c r="G13" s="67" t="s">
        <v>80</v>
      </c>
      <c r="H13" s="69"/>
    </row>
    <row r="14" spans="1:9">
      <c r="A14" s="3"/>
      <c r="B14" s="71" t="s">
        <v>32</v>
      </c>
      <c r="D14" s="12">
        <v>2.1</v>
      </c>
      <c r="E14" s="4" t="s">
        <v>71</v>
      </c>
      <c r="F14" s="4" t="s">
        <v>74</v>
      </c>
      <c r="G14" s="70" t="s">
        <v>542</v>
      </c>
      <c r="H14" s="69" t="s">
        <v>33</v>
      </c>
    </row>
    <row r="15" spans="1:9" ht="34.799999999999997">
      <c r="A15" s="3"/>
      <c r="B15" s="71"/>
      <c r="D15" s="10">
        <v>2.2000000000000002</v>
      </c>
      <c r="E15" s="4" t="s">
        <v>173</v>
      </c>
      <c r="F15" s="4" t="s">
        <v>174</v>
      </c>
      <c r="G15" s="70"/>
      <c r="H15" s="69"/>
      <c r="I15" s="4"/>
    </row>
    <row r="16" spans="1:9">
      <c r="A16" s="3"/>
      <c r="B16" s="71"/>
      <c r="D16" s="10">
        <v>2.4</v>
      </c>
      <c r="E16" s="4" t="s">
        <v>75</v>
      </c>
      <c r="F16" s="4" t="s">
        <v>76</v>
      </c>
      <c r="G16" s="70"/>
      <c r="H16" s="69"/>
    </row>
    <row r="17" spans="1:9">
      <c r="A17" s="3"/>
      <c r="B17" s="71"/>
      <c r="F17" s="4" t="s">
        <v>158</v>
      </c>
      <c r="G17" s="70"/>
      <c r="H17" s="69"/>
    </row>
    <row r="18" spans="1:9">
      <c r="A18" s="3"/>
      <c r="B18" s="71"/>
      <c r="F18" s="4" t="s">
        <v>81</v>
      </c>
      <c r="G18" s="70"/>
      <c r="H18" s="69"/>
    </row>
    <row r="19" spans="1:9">
      <c r="A19" s="3"/>
      <c r="B19" s="71"/>
      <c r="D19" s="10">
        <v>2.6</v>
      </c>
      <c r="E19" s="4" t="s">
        <v>175</v>
      </c>
      <c r="F19" s="2" t="s">
        <v>86</v>
      </c>
      <c r="G19" s="70" t="s">
        <v>176</v>
      </c>
      <c r="H19" s="69"/>
    </row>
    <row r="20" spans="1:9">
      <c r="A20" s="3"/>
      <c r="B20" s="71"/>
      <c r="F20" s="2" t="s">
        <v>44</v>
      </c>
      <c r="G20" s="70"/>
      <c r="H20" s="69"/>
    </row>
    <row r="21" spans="1:9" ht="16.5" customHeight="1">
      <c r="A21" s="3"/>
      <c r="B21" s="71" t="s">
        <v>34</v>
      </c>
      <c r="D21" s="10">
        <v>3.1</v>
      </c>
      <c r="E21" s="4" t="s">
        <v>82</v>
      </c>
      <c r="F21" s="4" t="s">
        <v>43</v>
      </c>
      <c r="G21" s="70" t="s">
        <v>35</v>
      </c>
      <c r="H21" s="69"/>
    </row>
    <row r="22" spans="1:9">
      <c r="A22" s="3"/>
      <c r="B22" s="71"/>
      <c r="F22" s="4" t="s">
        <v>83</v>
      </c>
      <c r="G22" s="70"/>
      <c r="H22" s="69"/>
    </row>
    <row r="23" spans="1:9">
      <c r="A23" s="3"/>
      <c r="B23" s="71"/>
      <c r="D23" s="10">
        <v>3.2</v>
      </c>
      <c r="E23" s="4" t="s">
        <v>37</v>
      </c>
      <c r="F23" s="4" t="s">
        <v>84</v>
      </c>
      <c r="G23" s="67" t="s">
        <v>36</v>
      </c>
      <c r="H23" s="69" t="s">
        <v>38</v>
      </c>
    </row>
    <row r="24" spans="1:9">
      <c r="A24" s="3"/>
      <c r="B24" s="71"/>
      <c r="D24" s="10">
        <v>4.0999999999999996</v>
      </c>
      <c r="E24" s="4" t="s">
        <v>85</v>
      </c>
      <c r="F24" s="4" t="s">
        <v>87</v>
      </c>
      <c r="G24" s="66"/>
      <c r="H24" s="69"/>
    </row>
    <row r="25" spans="1:9">
      <c r="A25" s="3"/>
      <c r="B25" s="71" t="s">
        <v>39</v>
      </c>
      <c r="D25" s="10">
        <v>4.2</v>
      </c>
      <c r="E25" s="4" t="s">
        <v>40</v>
      </c>
      <c r="G25" s="66" t="s">
        <v>95</v>
      </c>
      <c r="H25" s="69"/>
    </row>
    <row r="26" spans="1:9">
      <c r="A26" s="3"/>
      <c r="B26" s="71"/>
      <c r="D26" s="10">
        <v>4.3</v>
      </c>
      <c r="E26" s="4" t="s">
        <v>175</v>
      </c>
      <c r="F26" s="4" t="s">
        <v>92</v>
      </c>
      <c r="G26" s="66"/>
      <c r="H26" s="69"/>
    </row>
    <row r="27" spans="1:9">
      <c r="A27" s="3"/>
      <c r="B27" s="71"/>
      <c r="D27" s="10">
        <v>4.4000000000000004</v>
      </c>
      <c r="E27" s="4" t="s">
        <v>91</v>
      </c>
      <c r="F27" s="4" t="s">
        <v>177</v>
      </c>
      <c r="H27" s="69"/>
    </row>
    <row r="28" spans="1:9">
      <c r="A28" s="3"/>
      <c r="B28" s="71"/>
      <c r="H28" s="69"/>
    </row>
    <row r="29" spans="1:9">
      <c r="A29" s="3"/>
      <c r="B29" s="71"/>
      <c r="F29" s="4" t="s">
        <v>178</v>
      </c>
      <c r="H29" s="69"/>
    </row>
    <row r="30" spans="1:9">
      <c r="A30" s="3"/>
      <c r="B30" s="71"/>
      <c r="D30" s="10">
        <v>4.5</v>
      </c>
      <c r="E30" s="4" t="s">
        <v>88</v>
      </c>
      <c r="F30" s="4" t="s">
        <v>93</v>
      </c>
      <c r="G30" s="4" t="s">
        <v>94</v>
      </c>
      <c r="H30" s="69" t="s">
        <v>41</v>
      </c>
      <c r="I30" s="4"/>
    </row>
    <row r="31" spans="1:9">
      <c r="A31" s="3"/>
      <c r="B31" s="71"/>
      <c r="D31" s="10">
        <v>5.0999999999999996</v>
      </c>
      <c r="E31" s="4" t="s">
        <v>96</v>
      </c>
      <c r="G31" s="69" t="s">
        <v>99</v>
      </c>
      <c r="H31" s="69"/>
    </row>
    <row r="32" spans="1:9">
      <c r="A32" s="3"/>
      <c r="B32" s="71" t="s">
        <v>42</v>
      </c>
      <c r="D32" s="10">
        <v>5.2</v>
      </c>
      <c r="E32" s="4" t="s">
        <v>97</v>
      </c>
      <c r="G32" s="69"/>
      <c r="H32" s="69"/>
    </row>
    <row r="33" spans="1:8">
      <c r="A33" s="3"/>
      <c r="B33" s="71"/>
      <c r="D33" s="10">
        <v>5.3</v>
      </c>
      <c r="E33" s="4" t="s">
        <v>98</v>
      </c>
      <c r="G33" s="69"/>
      <c r="H33" s="69"/>
    </row>
    <row r="34" spans="1:8">
      <c r="A34" s="3"/>
      <c r="B34" s="71"/>
      <c r="G34"/>
    </row>
    <row r="35" spans="1:8">
      <c r="A35" s="3"/>
    </row>
    <row r="36" spans="1:8">
      <c r="A36" s="3"/>
      <c r="F36" s="2"/>
    </row>
    <row r="37" spans="1:8">
      <c r="A37" s="3"/>
      <c r="G37" s="2"/>
    </row>
    <row r="38" spans="1:8">
      <c r="A38" s="3"/>
    </row>
  </sheetData>
  <mergeCells count="16">
    <mergeCell ref="B32:B34"/>
    <mergeCell ref="B14:B20"/>
    <mergeCell ref="G31:G33"/>
    <mergeCell ref="B25:B31"/>
    <mergeCell ref="B3:B7"/>
    <mergeCell ref="B8:B13"/>
    <mergeCell ref="B21:B24"/>
    <mergeCell ref="G14:G18"/>
    <mergeCell ref="D2:E2"/>
    <mergeCell ref="H8:H13"/>
    <mergeCell ref="G10:G11"/>
    <mergeCell ref="H23:H29"/>
    <mergeCell ref="H30:H33"/>
    <mergeCell ref="G21:G22"/>
    <mergeCell ref="G19:G20"/>
    <mergeCell ref="H14:H22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BC90-BA16-46BD-9D8B-66CC75629E24}">
  <dimension ref="A1:BO114"/>
  <sheetViews>
    <sheetView zoomScaleNormal="100" workbookViewId="0">
      <selection activeCell="A2" sqref="A2"/>
    </sheetView>
  </sheetViews>
  <sheetFormatPr defaultRowHeight="17.399999999999999"/>
  <cols>
    <col min="14" max="14" width="11.8984375" customWidth="1"/>
    <col min="15" max="16" width="9.09765625" bestFit="1" customWidth="1"/>
    <col min="17" max="17" width="10.19921875" customWidth="1"/>
    <col min="18" max="18" width="12.69921875" customWidth="1"/>
    <col min="19" max="20" width="12.09765625" bestFit="1" customWidth="1"/>
    <col min="21" max="21" width="14.8984375" bestFit="1" customWidth="1"/>
    <col min="22" max="22" width="11" customWidth="1"/>
    <col min="27" max="27" width="10.69921875" bestFit="1" customWidth="1"/>
    <col min="34" max="34" width="8.8984375" style="6"/>
    <col min="35" max="35" width="9.69921875" style="6" customWidth="1"/>
    <col min="36" max="36" width="8.8984375" style="6"/>
    <col min="37" max="39" width="9" bestFit="1" customWidth="1"/>
    <col min="40" max="40" width="11" customWidth="1"/>
    <col min="41" max="41" width="12.09765625" bestFit="1" customWidth="1"/>
    <col min="42" max="42" width="11.19921875" customWidth="1"/>
    <col min="43" max="43" width="14.8984375" bestFit="1" customWidth="1"/>
    <col min="44" max="44" width="10.19921875" bestFit="1" customWidth="1"/>
    <col min="45" max="45" width="9" bestFit="1" customWidth="1"/>
    <col min="46" max="46" width="14.8984375" bestFit="1" customWidth="1"/>
    <col min="47" max="47" width="13.19921875" bestFit="1" customWidth="1"/>
    <col min="51" max="51" width="9.69921875" bestFit="1" customWidth="1"/>
    <col min="52" max="53" width="11.19921875" bestFit="1" customWidth="1"/>
    <col min="63" max="63" width="18.69921875" customWidth="1"/>
    <col min="64" max="64" width="12.69921875" bestFit="1" customWidth="1"/>
    <col min="65" max="65" width="12.8984375" customWidth="1"/>
    <col min="66" max="66" width="26.69921875" style="46" customWidth="1"/>
    <col min="67" max="67" width="18.69921875" bestFit="1" customWidth="1"/>
  </cols>
  <sheetData>
    <row r="1" spans="1:67">
      <c r="A1" t="s">
        <v>546</v>
      </c>
    </row>
    <row r="2" spans="1:67" ht="21">
      <c r="A2" s="43" t="s">
        <v>192</v>
      </c>
      <c r="M2" s="43" t="s">
        <v>227</v>
      </c>
      <c r="AG2" s="43" t="s">
        <v>228</v>
      </c>
      <c r="AU2" s="43" t="s">
        <v>233</v>
      </c>
      <c r="BK2" s="43" t="s">
        <v>253</v>
      </c>
    </row>
    <row r="3" spans="1:67">
      <c r="B3" t="s">
        <v>57</v>
      </c>
      <c r="M3" t="s">
        <v>200</v>
      </c>
      <c r="Y3" t="s">
        <v>195</v>
      </c>
      <c r="AG3" t="s">
        <v>213</v>
      </c>
      <c r="AU3" t="s">
        <v>234</v>
      </c>
      <c r="BK3" t="s">
        <v>260</v>
      </c>
    </row>
    <row r="4" spans="1:67" ht="34.799999999999997">
      <c r="N4" s="17" t="s">
        <v>100</v>
      </c>
      <c r="O4" s="17" t="s">
        <v>45</v>
      </c>
      <c r="P4" s="17" t="s">
        <v>206</v>
      </c>
      <c r="Q4" s="17" t="s">
        <v>159</v>
      </c>
      <c r="R4" s="17" t="s">
        <v>207</v>
      </c>
      <c r="S4" s="17" t="s">
        <v>203</v>
      </c>
      <c r="T4" s="17" t="s">
        <v>208</v>
      </c>
      <c r="U4" s="17" t="s">
        <v>204</v>
      </c>
      <c r="V4" s="17" t="s">
        <v>209</v>
      </c>
      <c r="Z4" t="s">
        <v>164</v>
      </c>
      <c r="AI4" s="13" t="s">
        <v>101</v>
      </c>
      <c r="AJ4" s="17" t="s">
        <v>100</v>
      </c>
      <c r="AK4" s="17" t="s">
        <v>45</v>
      </c>
      <c r="AL4" s="17" t="s">
        <v>206</v>
      </c>
      <c r="AM4" s="17" t="s">
        <v>159</v>
      </c>
      <c r="AN4" s="17" t="s">
        <v>207</v>
      </c>
      <c r="AO4" s="17" t="s">
        <v>203</v>
      </c>
      <c r="AP4" s="17" t="s">
        <v>208</v>
      </c>
      <c r="AQ4" s="17" t="s">
        <v>204</v>
      </c>
      <c r="AR4" s="17" t="s">
        <v>209</v>
      </c>
    </row>
    <row r="5" spans="1:67">
      <c r="N5" s="16">
        <v>2020</v>
      </c>
      <c r="O5" s="38">
        <v>2509</v>
      </c>
      <c r="P5" s="36" t="s">
        <v>205</v>
      </c>
      <c r="Q5" s="38">
        <v>58442</v>
      </c>
      <c r="R5" s="36" t="s">
        <v>205</v>
      </c>
      <c r="S5" s="38">
        <v>18422</v>
      </c>
      <c r="T5" s="36" t="s">
        <v>205</v>
      </c>
      <c r="U5" s="38">
        <v>1076629420</v>
      </c>
      <c r="V5" s="36" t="s">
        <v>205</v>
      </c>
      <c r="AI5" s="18" t="s">
        <v>163</v>
      </c>
      <c r="AJ5" s="18">
        <v>2021</v>
      </c>
      <c r="AK5" s="38">
        <v>2860</v>
      </c>
      <c r="AL5" s="36" t="s">
        <v>205</v>
      </c>
      <c r="AM5" s="38">
        <v>68680</v>
      </c>
      <c r="AN5" s="36" t="s">
        <v>205</v>
      </c>
      <c r="AO5" s="38">
        <v>19528</v>
      </c>
      <c r="AP5" s="36" t="s">
        <v>205</v>
      </c>
      <c r="AQ5" s="38">
        <v>1341154740</v>
      </c>
      <c r="AR5" s="36" t="s">
        <v>205</v>
      </c>
      <c r="BK5" s="5" t="s">
        <v>249</v>
      </c>
      <c r="BL5" s="5" t="s">
        <v>250</v>
      </c>
      <c r="BM5" s="5" t="s">
        <v>239</v>
      </c>
      <c r="BN5" s="47" t="s">
        <v>240</v>
      </c>
      <c r="BO5" s="5" t="s">
        <v>251</v>
      </c>
    </row>
    <row r="6" spans="1:67">
      <c r="N6" s="16">
        <v>2021</v>
      </c>
      <c r="O6" s="38">
        <v>2860</v>
      </c>
      <c r="P6" s="37">
        <f>(O6-O5)/O5</f>
        <v>0.13989637305699482</v>
      </c>
      <c r="Q6" s="38">
        <v>71892</v>
      </c>
      <c r="R6" s="37">
        <f>(Q6-Q5)/Q5</f>
        <v>0.23014270558844666</v>
      </c>
      <c r="S6" s="38">
        <v>38307</v>
      </c>
      <c r="T6" s="37">
        <f>(S6-S5)/S5</f>
        <v>1.0794159157529042</v>
      </c>
      <c r="U6" s="38">
        <v>2754002340</v>
      </c>
      <c r="V6" s="37">
        <f>(U6-U5)/U5</f>
        <v>1.5579854022566093</v>
      </c>
      <c r="AI6" s="18" t="s">
        <v>163</v>
      </c>
      <c r="AJ6" s="18">
        <v>2022</v>
      </c>
      <c r="AK6" s="38">
        <v>3000</v>
      </c>
      <c r="AL6" s="37">
        <f>(AK6-AK5)/AK5</f>
        <v>4.8951048951048952E-2</v>
      </c>
      <c r="AM6" s="38">
        <v>73681</v>
      </c>
      <c r="AN6" s="37">
        <f>(AM6-AM5)/AM5</f>
        <v>7.2815958066394876E-2</v>
      </c>
      <c r="AO6" s="38">
        <v>27543</v>
      </c>
      <c r="AP6" s="41">
        <f>(AO6-AO5)/AO5</f>
        <v>0.41043629659975422</v>
      </c>
      <c r="AQ6" s="38">
        <v>2029406370</v>
      </c>
      <c r="AR6" s="41">
        <f>(AQ6-AQ5)/AQ5</f>
        <v>0.51317838984038489</v>
      </c>
      <c r="BK6" s="33" t="s">
        <v>201</v>
      </c>
      <c r="BL6" s="5">
        <f>EXP(-BM6)</f>
        <v>0</v>
      </c>
      <c r="BM6" s="5">
        <v>38263.076670000002</v>
      </c>
      <c r="BN6" s="47">
        <v>4</v>
      </c>
      <c r="BO6" s="5" t="s">
        <v>252</v>
      </c>
    </row>
    <row r="7" spans="1:67">
      <c r="N7" s="16">
        <v>2022</v>
      </c>
      <c r="O7" s="38">
        <v>3000</v>
      </c>
      <c r="P7" s="39">
        <f>(O7-O6)/O6</f>
        <v>4.8951048951048952E-2</v>
      </c>
      <c r="Q7" s="38">
        <v>74754</v>
      </c>
      <c r="R7" s="39">
        <f>(Q7-Q6)/Q6</f>
        <v>3.9809714571857786E-2</v>
      </c>
      <c r="S7" s="38">
        <v>47061</v>
      </c>
      <c r="T7" s="39">
        <f>(S7-S6)/S6</f>
        <v>0.22852220220847363</v>
      </c>
      <c r="U7" s="38">
        <v>3517994510</v>
      </c>
      <c r="V7" s="39">
        <f>(U7-U6)/U6</f>
        <v>0.2774115907250827</v>
      </c>
      <c r="AI7" s="18" t="s">
        <v>126</v>
      </c>
      <c r="AJ7" s="18">
        <v>2020</v>
      </c>
      <c r="AK7" s="38">
        <v>2509</v>
      </c>
      <c r="AL7" s="37" t="s">
        <v>205</v>
      </c>
      <c r="AM7" s="38">
        <v>58442</v>
      </c>
      <c r="AN7" s="37" t="s">
        <v>205</v>
      </c>
      <c r="AO7" s="38">
        <v>18422</v>
      </c>
      <c r="AP7" s="37" t="s">
        <v>205</v>
      </c>
      <c r="AQ7" s="38">
        <v>1076629420</v>
      </c>
      <c r="AR7" s="37" t="s">
        <v>205</v>
      </c>
      <c r="BK7" s="33" t="s">
        <v>202</v>
      </c>
      <c r="BL7" s="5">
        <f t="shared" ref="BL7:BL13" si="0">EXP(-BM7)</f>
        <v>0</v>
      </c>
      <c r="BM7" s="5">
        <v>28116.661</v>
      </c>
      <c r="BN7" s="47">
        <v>7371</v>
      </c>
      <c r="BO7" s="5" t="s">
        <v>252</v>
      </c>
    </row>
    <row r="8" spans="1:67">
      <c r="AI8" s="18" t="s">
        <v>126</v>
      </c>
      <c r="AJ8" s="18">
        <v>2021</v>
      </c>
      <c r="AK8" s="38">
        <v>2860</v>
      </c>
      <c r="AL8" s="37">
        <f t="shared" ref="AL8:AN9" si="1">(AK8-AK7)/AK7</f>
        <v>0.13989637305699482</v>
      </c>
      <c r="AM8" s="38">
        <v>67423</v>
      </c>
      <c r="AN8" s="37">
        <f t="shared" si="1"/>
        <v>0.15367372779850108</v>
      </c>
      <c r="AO8" s="38">
        <v>19268</v>
      </c>
      <c r="AP8" s="37">
        <f t="shared" ref="AP8" si="2">(AO8-AO7)/AO7</f>
        <v>4.5923352513299313E-2</v>
      </c>
      <c r="AQ8" s="38">
        <v>1299121590</v>
      </c>
      <c r="AR8" s="37">
        <f t="shared" ref="AR8" si="3">(AQ8-AQ7)/AQ7</f>
        <v>0.20665622345709259</v>
      </c>
      <c r="BK8" s="33" t="s">
        <v>241</v>
      </c>
      <c r="BL8" s="5">
        <f t="shared" si="0"/>
        <v>0</v>
      </c>
      <c r="BM8" s="5">
        <v>11462.376840000001</v>
      </c>
      <c r="BN8" s="47" t="s">
        <v>242</v>
      </c>
      <c r="BO8" s="5" t="s">
        <v>252</v>
      </c>
    </row>
    <row r="9" spans="1:67">
      <c r="N9" t="s">
        <v>221</v>
      </c>
      <c r="AI9" s="18" t="s">
        <v>126</v>
      </c>
      <c r="AJ9" s="18">
        <v>2022</v>
      </c>
      <c r="AK9" s="38">
        <v>3000</v>
      </c>
      <c r="AL9" s="39">
        <f t="shared" si="1"/>
        <v>4.8951048951048952E-2</v>
      </c>
      <c r="AM9" s="38">
        <v>69276</v>
      </c>
      <c r="AN9" s="39">
        <f t="shared" si="1"/>
        <v>2.7483203061269893E-2</v>
      </c>
      <c r="AO9" s="38">
        <v>19340</v>
      </c>
      <c r="AP9" s="39">
        <f t="shared" ref="AP9" si="4">(AO9-AO8)/AO8</f>
        <v>3.7367656217562797E-3</v>
      </c>
      <c r="AQ9" s="38">
        <v>1339815430</v>
      </c>
      <c r="AR9" s="39">
        <f t="shared" ref="AR9" si="5">(AQ9-AQ8)/AQ8</f>
        <v>3.1324119553736304E-2</v>
      </c>
      <c r="BK9" s="33" t="s">
        <v>243</v>
      </c>
      <c r="BL9" s="5">
        <f t="shared" si="0"/>
        <v>0</v>
      </c>
      <c r="BM9" s="5">
        <v>1567.95117</v>
      </c>
      <c r="BN9" s="47" t="s">
        <v>244</v>
      </c>
      <c r="BO9" s="5" t="s">
        <v>252</v>
      </c>
    </row>
    <row r="10" spans="1:67">
      <c r="N10" t="s">
        <v>222</v>
      </c>
      <c r="AI10" s="18" t="s">
        <v>166</v>
      </c>
      <c r="AJ10" s="18">
        <v>2021</v>
      </c>
      <c r="AK10" s="38">
        <v>2851</v>
      </c>
      <c r="AL10" s="37" t="s">
        <v>205</v>
      </c>
      <c r="AM10" s="38">
        <v>18555</v>
      </c>
      <c r="AN10" s="37" t="s">
        <v>205</v>
      </c>
      <c r="AO10" s="38">
        <v>6129</v>
      </c>
      <c r="AP10" s="37" t="s">
        <v>205</v>
      </c>
      <c r="AQ10" s="38">
        <v>113726010</v>
      </c>
      <c r="AR10" s="37" t="s">
        <v>205</v>
      </c>
      <c r="BK10" s="48" t="s">
        <v>190</v>
      </c>
      <c r="BL10" s="5">
        <f t="shared" si="0"/>
        <v>0.30794317801274018</v>
      </c>
      <c r="BM10" s="5">
        <v>1.17784</v>
      </c>
      <c r="BN10" s="47" t="s">
        <v>245</v>
      </c>
      <c r="BO10" s="5" t="s">
        <v>252</v>
      </c>
    </row>
    <row r="11" spans="1:67">
      <c r="AI11" s="18" t="s">
        <v>166</v>
      </c>
      <c r="AJ11" s="18">
        <v>2022</v>
      </c>
      <c r="AK11" s="38">
        <v>2998</v>
      </c>
      <c r="AL11" s="37">
        <f>(AK11-AK10)/AK10</f>
        <v>5.1560855840056118E-2</v>
      </c>
      <c r="AM11" s="38">
        <v>22610</v>
      </c>
      <c r="AN11" s="37">
        <f>(AM11-AM10)/AM10</f>
        <v>0.21853947722985717</v>
      </c>
      <c r="AO11" s="38">
        <v>6580</v>
      </c>
      <c r="AP11" s="37">
        <f>(AO11-AO10)/AO10</f>
        <v>7.35845978136727E-2</v>
      </c>
      <c r="AQ11" s="38">
        <v>148772710</v>
      </c>
      <c r="AR11" s="41">
        <f>(AQ11-AQ10)/AQ10</f>
        <v>0.30816785008108522</v>
      </c>
      <c r="BK11" s="48" t="s">
        <v>191</v>
      </c>
      <c r="BL11" s="5">
        <f t="shared" si="0"/>
        <v>0.37794749315816506</v>
      </c>
      <c r="BM11" s="5">
        <v>0.97299999999999998</v>
      </c>
      <c r="BN11" s="47" t="s">
        <v>49</v>
      </c>
      <c r="BO11" s="5" t="s">
        <v>252</v>
      </c>
    </row>
    <row r="12" spans="1:67">
      <c r="B12" t="s">
        <v>153</v>
      </c>
      <c r="BK12" s="5" t="s">
        <v>246</v>
      </c>
      <c r="BL12" s="5">
        <f t="shared" si="0"/>
        <v>0.71869371464219711</v>
      </c>
      <c r="BM12" s="5">
        <v>0.33032</v>
      </c>
      <c r="BN12" s="47">
        <v>3</v>
      </c>
      <c r="BO12" s="5"/>
    </row>
    <row r="13" spans="1:67">
      <c r="M13" t="s">
        <v>210</v>
      </c>
      <c r="AI13" s="32" t="s">
        <v>225</v>
      </c>
      <c r="BK13" s="5" t="s">
        <v>247</v>
      </c>
      <c r="BL13" s="5">
        <f t="shared" si="0"/>
        <v>0.81587020432267365</v>
      </c>
      <c r="BM13" s="5">
        <v>0.20349999999999999</v>
      </c>
      <c r="BN13" s="47" t="s">
        <v>248</v>
      </c>
      <c r="BO13" s="5"/>
    </row>
    <row r="14" spans="1:67" ht="34.799999999999997">
      <c r="M14" s="13" t="s">
        <v>101</v>
      </c>
      <c r="N14" s="17" t="s">
        <v>100</v>
      </c>
      <c r="O14" s="17" t="s">
        <v>45</v>
      </c>
      <c r="P14" s="17" t="s">
        <v>206</v>
      </c>
      <c r="Q14" s="17" t="s">
        <v>159</v>
      </c>
      <c r="R14" s="17" t="s">
        <v>207</v>
      </c>
      <c r="S14" s="17" t="s">
        <v>203</v>
      </c>
      <c r="T14" s="17" t="s">
        <v>208</v>
      </c>
      <c r="U14" s="17" t="s">
        <v>204</v>
      </c>
      <c r="V14" s="17" t="s">
        <v>209</v>
      </c>
      <c r="Z14" t="s">
        <v>165</v>
      </c>
      <c r="AI14" s="32" t="s">
        <v>226</v>
      </c>
    </row>
    <row r="15" spans="1:67">
      <c r="M15" s="16" t="s">
        <v>49</v>
      </c>
      <c r="N15" s="16">
        <v>2020</v>
      </c>
      <c r="O15" s="38">
        <v>963</v>
      </c>
      <c r="P15" s="36" t="s">
        <v>205</v>
      </c>
      <c r="Q15" s="38">
        <v>22183</v>
      </c>
      <c r="R15" s="36" t="s">
        <v>205</v>
      </c>
      <c r="S15" s="38">
        <v>18435</v>
      </c>
      <c r="T15" s="36" t="s">
        <v>205</v>
      </c>
      <c r="U15" s="38">
        <v>408937020</v>
      </c>
      <c r="V15" s="36" t="s">
        <v>205</v>
      </c>
    </row>
    <row r="16" spans="1:67" ht="34.799999999999997">
      <c r="M16" s="16" t="s">
        <v>49</v>
      </c>
      <c r="N16" s="16">
        <v>2021</v>
      </c>
      <c r="O16" s="38">
        <v>1090</v>
      </c>
      <c r="P16" s="37">
        <f>(O16-O15)/O15</f>
        <v>0.13187954309449637</v>
      </c>
      <c r="Q16" s="38">
        <v>27295</v>
      </c>
      <c r="R16" s="37">
        <f>(Q16-Q15)/Q15</f>
        <v>0.23044673849344091</v>
      </c>
      <c r="S16" s="38">
        <v>38318</v>
      </c>
      <c r="T16" s="37">
        <f>(S16-S15)/S15</f>
        <v>1.0785462435584485</v>
      </c>
      <c r="U16" s="38">
        <v>1045892300</v>
      </c>
      <c r="V16" s="37">
        <f>(U16-U15)/U15</f>
        <v>1.5575877185195901</v>
      </c>
      <c r="AH16" s="72" t="s">
        <v>101</v>
      </c>
      <c r="AI16" s="72"/>
      <c r="AJ16" s="17" t="s">
        <v>100</v>
      </c>
      <c r="AK16" s="17" t="s">
        <v>45</v>
      </c>
      <c r="AL16" s="17" t="s">
        <v>206</v>
      </c>
      <c r="AM16" s="17" t="s">
        <v>159</v>
      </c>
      <c r="AN16" s="17" t="s">
        <v>207</v>
      </c>
      <c r="AO16" s="17" t="s">
        <v>203</v>
      </c>
      <c r="AP16" s="17" t="s">
        <v>208</v>
      </c>
      <c r="AQ16" s="17" t="s">
        <v>204</v>
      </c>
      <c r="AR16" s="17" t="s">
        <v>209</v>
      </c>
    </row>
    <row r="17" spans="2:63">
      <c r="M17" s="16" t="s">
        <v>49</v>
      </c>
      <c r="N17" s="16">
        <v>2022</v>
      </c>
      <c r="O17" s="38">
        <v>1148</v>
      </c>
      <c r="P17" s="41">
        <f>(O17-O16)/O16</f>
        <v>5.321100917431193E-2</v>
      </c>
      <c r="Q17" s="38">
        <v>28648</v>
      </c>
      <c r="R17" s="41">
        <f>(Q17-Q16)/Q16</f>
        <v>4.9569518226781462E-2</v>
      </c>
      <c r="S17" s="40">
        <v>46988</v>
      </c>
      <c r="T17" s="37">
        <f>(S17-S16)/S16</f>
        <v>0.22626441881100265</v>
      </c>
      <c r="U17" s="38">
        <v>1346098460</v>
      </c>
      <c r="V17" s="37">
        <f>(U17-U16)/U16</f>
        <v>0.28703353108154633</v>
      </c>
      <c r="AH17" s="18" t="s">
        <v>163</v>
      </c>
      <c r="AI17" s="18" t="s">
        <v>214</v>
      </c>
      <c r="AJ17" s="18">
        <v>2021</v>
      </c>
      <c r="AK17" s="38">
        <v>2860</v>
      </c>
      <c r="AL17" s="36" t="s">
        <v>205</v>
      </c>
      <c r="AM17" s="38">
        <v>56852</v>
      </c>
      <c r="AN17" s="36" t="s">
        <v>205</v>
      </c>
      <c r="AO17" s="38">
        <v>12758</v>
      </c>
      <c r="AP17" s="36" t="s">
        <v>205</v>
      </c>
      <c r="AQ17" s="38">
        <v>725344210</v>
      </c>
      <c r="AR17" s="36" t="s">
        <v>205</v>
      </c>
    </row>
    <row r="18" spans="2:63">
      <c r="M18" s="16" t="s">
        <v>50</v>
      </c>
      <c r="N18" s="16">
        <v>2020</v>
      </c>
      <c r="O18" s="38">
        <v>1546</v>
      </c>
      <c r="P18" s="36" t="s">
        <v>205</v>
      </c>
      <c r="Q18" s="38">
        <v>36259</v>
      </c>
      <c r="R18" s="36" t="s">
        <v>205</v>
      </c>
      <c r="S18" s="38">
        <v>18415</v>
      </c>
      <c r="T18" s="36" t="s">
        <v>205</v>
      </c>
      <c r="U18" s="38">
        <v>667692400</v>
      </c>
      <c r="V18" s="36" t="s">
        <v>205</v>
      </c>
      <c r="AH18" s="18" t="s">
        <v>163</v>
      </c>
      <c r="AI18" s="18" t="s">
        <v>214</v>
      </c>
      <c r="AJ18" s="18">
        <v>2022</v>
      </c>
      <c r="AK18" s="38">
        <v>3000</v>
      </c>
      <c r="AL18" s="37">
        <f>(AK18-AK17)/AK17</f>
        <v>4.8951048951048952E-2</v>
      </c>
      <c r="AM18" s="38">
        <v>59102</v>
      </c>
      <c r="AN18" s="37">
        <f>(AM18-AM17)/AM17</f>
        <v>3.9576444100471397E-2</v>
      </c>
      <c r="AO18" s="38">
        <v>13338</v>
      </c>
      <c r="AP18" s="37">
        <f>(AO18-AO17)/AO17</f>
        <v>4.5461671108324192E-2</v>
      </c>
      <c r="AQ18" s="38">
        <v>788274490</v>
      </c>
      <c r="AR18" s="37">
        <f>(AQ18-AQ17)/AQ17</f>
        <v>8.6759195334308939E-2</v>
      </c>
    </row>
    <row r="19" spans="2:63">
      <c r="M19" s="16" t="s">
        <v>50</v>
      </c>
      <c r="N19" s="16">
        <v>2021</v>
      </c>
      <c r="O19" s="38">
        <v>1770</v>
      </c>
      <c r="P19" s="37">
        <f>(O19-O18)/O18</f>
        <v>0.14489003880983181</v>
      </c>
      <c r="Q19" s="38">
        <v>44597</v>
      </c>
      <c r="R19" s="37">
        <f>(Q19-Q18)/Q18</f>
        <v>0.22995670040541658</v>
      </c>
      <c r="S19" s="38">
        <v>38301</v>
      </c>
      <c r="T19" s="37">
        <f>(S19-S18)/S18</f>
        <v>1.0798805321748575</v>
      </c>
      <c r="U19" s="38">
        <v>1708110040</v>
      </c>
      <c r="V19" s="37">
        <f>(U19-U18)/U18</f>
        <v>1.5582289689084374</v>
      </c>
      <c r="AH19" s="18" t="s">
        <v>163</v>
      </c>
      <c r="AI19" s="18" t="s">
        <v>215</v>
      </c>
      <c r="AJ19" s="18">
        <v>2021</v>
      </c>
      <c r="AK19" s="38">
        <v>2815</v>
      </c>
      <c r="AL19" s="37" t="s">
        <v>205</v>
      </c>
      <c r="AM19" s="38">
        <v>11940</v>
      </c>
      <c r="AN19" s="37" t="s">
        <v>205</v>
      </c>
      <c r="AO19" s="38">
        <v>10491</v>
      </c>
      <c r="AP19" s="37" t="s">
        <v>205</v>
      </c>
      <c r="AQ19" s="38">
        <v>125261790</v>
      </c>
      <c r="AR19" s="37" t="s">
        <v>205</v>
      </c>
    </row>
    <row r="20" spans="2:63">
      <c r="M20" s="16" t="s">
        <v>50</v>
      </c>
      <c r="N20" s="16">
        <v>2022</v>
      </c>
      <c r="O20" s="38">
        <v>1852</v>
      </c>
      <c r="P20" s="37">
        <f>(O20-O19)/O19</f>
        <v>4.632768361581921E-2</v>
      </c>
      <c r="Q20" s="38">
        <v>46106</v>
      </c>
      <c r="R20" s="37">
        <f>(Q20-Q19)/Q19</f>
        <v>3.3836356705608001E-2</v>
      </c>
      <c r="S20" s="38">
        <v>47107</v>
      </c>
      <c r="T20" s="37">
        <f>(S20-S19)/S19</f>
        <v>0.22991566799822458</v>
      </c>
      <c r="U20" s="38">
        <v>2171896050</v>
      </c>
      <c r="V20" s="37">
        <f>(U20-U19)/U19</f>
        <v>0.27151998357201856</v>
      </c>
      <c r="AH20" s="18" t="s">
        <v>163</v>
      </c>
      <c r="AI20" s="18" t="s">
        <v>215</v>
      </c>
      <c r="AJ20" s="18">
        <v>2022</v>
      </c>
      <c r="AK20" s="38">
        <v>2943</v>
      </c>
      <c r="AL20" s="37">
        <f t="shared" ref="AL20" si="6">(AK20-AK19)/AK19</f>
        <v>4.5470692717584367E-2</v>
      </c>
      <c r="AM20" s="38">
        <v>12345</v>
      </c>
      <c r="AN20" s="37">
        <f t="shared" ref="AN20" si="7">(AM20-AM19)/AM19</f>
        <v>3.391959798994975E-2</v>
      </c>
      <c r="AO20" s="38">
        <v>10916</v>
      </c>
      <c r="AP20" s="37">
        <f t="shared" ref="AP20" si="8">(AO20-AO19)/AO19</f>
        <v>4.0510914116862071E-2</v>
      </c>
      <c r="AQ20" s="38">
        <v>134759860</v>
      </c>
      <c r="AR20" s="37">
        <f t="shared" ref="AR20" si="9">(AQ20-AQ19)/AQ19</f>
        <v>7.582575660143448E-2</v>
      </c>
    </row>
    <row r="21" spans="2:63">
      <c r="Q21" s="15"/>
      <c r="AH21" s="18" t="s">
        <v>163</v>
      </c>
      <c r="AI21" s="18" t="s">
        <v>216</v>
      </c>
      <c r="AJ21" s="18">
        <v>2022</v>
      </c>
      <c r="AK21" s="38">
        <v>2926</v>
      </c>
      <c r="AL21" s="37" t="s">
        <v>205</v>
      </c>
      <c r="AM21" s="38">
        <v>12218</v>
      </c>
      <c r="AN21" s="37" t="s">
        <v>205</v>
      </c>
      <c r="AO21" s="38">
        <v>16594</v>
      </c>
      <c r="AP21" s="37" t="s">
        <v>205</v>
      </c>
      <c r="AQ21" s="38">
        <v>202741460</v>
      </c>
      <c r="AR21" s="37" t="s">
        <v>205</v>
      </c>
    </row>
    <row r="22" spans="2:63">
      <c r="M22" s="32" t="s">
        <v>223</v>
      </c>
      <c r="Q22" s="15"/>
      <c r="AH22" s="18" t="s">
        <v>163</v>
      </c>
      <c r="AI22" s="18" t="s">
        <v>217</v>
      </c>
      <c r="AJ22" s="18">
        <v>2021</v>
      </c>
      <c r="AK22" s="38">
        <v>2860</v>
      </c>
      <c r="AL22" s="37" t="s">
        <v>205</v>
      </c>
      <c r="AM22" s="38">
        <v>31384</v>
      </c>
      <c r="AN22" s="37" t="s">
        <v>205</v>
      </c>
      <c r="AO22" s="38">
        <v>7787</v>
      </c>
      <c r="AP22" s="37" t="s">
        <v>205</v>
      </c>
      <c r="AQ22" s="38">
        <v>244372710</v>
      </c>
      <c r="AR22" s="37" t="s">
        <v>205</v>
      </c>
    </row>
    <row r="23" spans="2:63">
      <c r="Q23" s="15"/>
      <c r="AH23" s="18" t="s">
        <v>163</v>
      </c>
      <c r="AI23" s="18" t="s">
        <v>217</v>
      </c>
      <c r="AJ23" s="18">
        <v>2022</v>
      </c>
      <c r="AK23" s="38">
        <v>3000</v>
      </c>
      <c r="AL23" s="37">
        <f>(AK23-AK22)/AK22</f>
        <v>4.8951048951048952E-2</v>
      </c>
      <c r="AM23" s="38">
        <v>32666</v>
      </c>
      <c r="AN23" s="37">
        <f>(AM23-AM22)/AM22</f>
        <v>4.0848840173336731E-2</v>
      </c>
      <c r="AO23" s="38">
        <v>8163</v>
      </c>
      <c r="AP23" s="37">
        <f>(AO23-AO22)/AO22</f>
        <v>4.8285604212148454E-2</v>
      </c>
      <c r="AQ23" s="38">
        <v>266668880</v>
      </c>
      <c r="AR23" s="37">
        <f>(AQ23-AQ22)/AQ22</f>
        <v>9.123837927729328E-2</v>
      </c>
    </row>
    <row r="24" spans="2:63">
      <c r="B24" t="s">
        <v>58</v>
      </c>
      <c r="AH24" s="18" t="s">
        <v>163</v>
      </c>
      <c r="AI24" s="18" t="s">
        <v>218</v>
      </c>
      <c r="AJ24" s="18">
        <v>2022</v>
      </c>
      <c r="AK24" s="38">
        <v>3000</v>
      </c>
      <c r="AL24" s="36" t="s">
        <v>205</v>
      </c>
      <c r="AM24" s="38">
        <v>39079</v>
      </c>
      <c r="AN24" s="36" t="s">
        <v>205</v>
      </c>
      <c r="AO24" s="38">
        <v>9446</v>
      </c>
      <c r="AP24" s="36" t="s">
        <v>205</v>
      </c>
      <c r="AQ24" s="38">
        <v>369123050</v>
      </c>
      <c r="AR24" s="36" t="s">
        <v>205</v>
      </c>
    </row>
    <row r="25" spans="2:63">
      <c r="AH25" s="18" t="s">
        <v>163</v>
      </c>
      <c r="AI25" s="18" t="s">
        <v>219</v>
      </c>
      <c r="AJ25" s="18">
        <v>2021</v>
      </c>
      <c r="AK25" s="38">
        <v>2860</v>
      </c>
      <c r="AL25" s="37" t="s">
        <v>205</v>
      </c>
      <c r="AM25" s="38">
        <v>30394</v>
      </c>
      <c r="AN25" s="37" t="s">
        <v>205</v>
      </c>
      <c r="AO25" s="38">
        <v>8099</v>
      </c>
      <c r="AP25" s="37" t="s">
        <v>205</v>
      </c>
      <c r="AQ25" s="38">
        <v>246176030</v>
      </c>
      <c r="AR25" s="37" t="s">
        <v>205</v>
      </c>
    </row>
    <row r="26" spans="2:63">
      <c r="M26" t="s">
        <v>211</v>
      </c>
      <c r="AH26" s="18" t="s">
        <v>163</v>
      </c>
      <c r="AI26" s="18" t="s">
        <v>219</v>
      </c>
      <c r="AJ26" s="18">
        <v>2022</v>
      </c>
      <c r="AK26" s="38">
        <v>2999</v>
      </c>
      <c r="AL26" s="37">
        <f>(AK26-AK25)/AK25</f>
        <v>4.8601398601398602E-2</v>
      </c>
      <c r="AM26" s="38">
        <v>31347</v>
      </c>
      <c r="AN26" s="37">
        <f>(AM26-AM25)/AM25</f>
        <v>3.1354872672237945E-2</v>
      </c>
      <c r="AO26" s="38">
        <v>8544</v>
      </c>
      <c r="AP26" s="37">
        <f>(AO26-AO25)/AO25</f>
        <v>5.4945054945054944E-2</v>
      </c>
      <c r="AQ26" s="38">
        <v>267838630</v>
      </c>
      <c r="AR26" s="37">
        <f>(AQ26-AQ25)/AQ25</f>
        <v>8.7996382101051832E-2</v>
      </c>
    </row>
    <row r="27" spans="2:63" ht="34.799999999999997">
      <c r="M27" s="13" t="s">
        <v>101</v>
      </c>
      <c r="N27" s="17" t="s">
        <v>100</v>
      </c>
      <c r="O27" s="17" t="s">
        <v>45</v>
      </c>
      <c r="P27" s="17" t="s">
        <v>206</v>
      </c>
      <c r="Q27" s="17" t="s">
        <v>159</v>
      </c>
      <c r="R27" s="17" t="s">
        <v>207</v>
      </c>
      <c r="S27" s="17" t="s">
        <v>203</v>
      </c>
      <c r="T27" s="17" t="s">
        <v>208</v>
      </c>
      <c r="U27" s="17" t="s">
        <v>204</v>
      </c>
      <c r="V27" s="17" t="s">
        <v>209</v>
      </c>
      <c r="AH27" s="18" t="s">
        <v>126</v>
      </c>
      <c r="AI27" s="18" t="s">
        <v>214</v>
      </c>
      <c r="AJ27" s="18">
        <v>2020</v>
      </c>
      <c r="AK27" s="38">
        <v>1328</v>
      </c>
      <c r="AL27" s="37" t="s">
        <v>205</v>
      </c>
      <c r="AM27" s="38">
        <v>1874</v>
      </c>
      <c r="AN27" s="37" t="s">
        <v>205</v>
      </c>
      <c r="AO27" s="38">
        <v>5616</v>
      </c>
      <c r="AP27" s="37" t="s">
        <v>205</v>
      </c>
      <c r="AQ27" s="38">
        <v>10523970</v>
      </c>
      <c r="AR27" s="37" t="s">
        <v>205</v>
      </c>
    </row>
    <row r="28" spans="2:63">
      <c r="M28" s="18" t="s">
        <v>46</v>
      </c>
      <c r="N28" s="16">
        <v>2020</v>
      </c>
      <c r="O28" s="42">
        <v>765</v>
      </c>
      <c r="P28" s="36" t="s">
        <v>205</v>
      </c>
      <c r="Q28" s="38">
        <v>17808</v>
      </c>
      <c r="R28" s="36" t="s">
        <v>205</v>
      </c>
      <c r="S28" s="38">
        <v>18381</v>
      </c>
      <c r="T28" s="36" t="s">
        <v>205</v>
      </c>
      <c r="U28" s="38">
        <v>327331550</v>
      </c>
      <c r="V28" s="36" t="s">
        <v>205</v>
      </c>
      <c r="AH28" s="18" t="s">
        <v>126</v>
      </c>
      <c r="AI28" s="18" t="s">
        <v>214</v>
      </c>
      <c r="AJ28" s="18">
        <v>2021</v>
      </c>
      <c r="AK28" s="38">
        <v>1516</v>
      </c>
      <c r="AL28" s="37">
        <f t="shared" ref="AL28:AL38" si="10">(AK28-AK27)/AK27</f>
        <v>0.14156626506024098</v>
      </c>
      <c r="AM28" s="38">
        <v>2173</v>
      </c>
      <c r="AN28" s="37">
        <f t="shared" ref="AN28" si="11">(AM28-AM27)/AM27</f>
        <v>0.15955176093916756</v>
      </c>
      <c r="AO28" s="38">
        <v>5964</v>
      </c>
      <c r="AP28" s="37">
        <f t="shared" ref="AP28" si="12">(AO28-AO27)/AO27</f>
        <v>6.1965811965811968E-2</v>
      </c>
      <c r="AQ28" s="38">
        <v>12960580</v>
      </c>
      <c r="AR28" s="37">
        <f t="shared" ref="AR28" si="13">(AQ28-AQ27)/AQ27</f>
        <v>0.2315295463594062</v>
      </c>
    </row>
    <row r="29" spans="2:63">
      <c r="M29" s="18" t="s">
        <v>46</v>
      </c>
      <c r="N29" s="16">
        <v>2021</v>
      </c>
      <c r="O29" s="42">
        <v>890</v>
      </c>
      <c r="P29" s="37">
        <f>(O29-O28)/O28</f>
        <v>0.16339869281045752</v>
      </c>
      <c r="Q29" s="38">
        <v>22281</v>
      </c>
      <c r="R29" s="37">
        <f>(Q29-Q28)/Q28</f>
        <v>0.25117924528301888</v>
      </c>
      <c r="S29" s="38">
        <v>37994</v>
      </c>
      <c r="T29" s="37">
        <f>(S29-S28)/S28</f>
        <v>1.0670257330939557</v>
      </c>
      <c r="U29" s="38">
        <v>846553860</v>
      </c>
      <c r="V29" s="37">
        <f>(U29-U28)/U28</f>
        <v>1.58622751152463</v>
      </c>
      <c r="Y29" t="s">
        <v>163</v>
      </c>
      <c r="Z29" t="s">
        <v>273</v>
      </c>
      <c r="AH29" s="18" t="s">
        <v>126</v>
      </c>
      <c r="AI29" s="18" t="s">
        <v>214</v>
      </c>
      <c r="AJ29" s="18">
        <v>2022</v>
      </c>
      <c r="AK29" s="38">
        <v>1534</v>
      </c>
      <c r="AL29" s="37">
        <f t="shared" si="10"/>
        <v>1.1873350923482849E-2</v>
      </c>
      <c r="AM29" s="38">
        <v>2166</v>
      </c>
      <c r="AN29" s="37">
        <f t="shared" ref="AN29" si="14">(AM29-AM28)/AM28</f>
        <v>-3.2213529682466636E-3</v>
      </c>
      <c r="AO29" s="38">
        <v>6180</v>
      </c>
      <c r="AP29" s="37">
        <f t="shared" ref="AP29" si="15">(AO29-AO28)/AO28</f>
        <v>3.6217303822937627E-2</v>
      </c>
      <c r="AQ29" s="38">
        <v>13385080</v>
      </c>
      <c r="AR29" s="37">
        <f t="shared" ref="AR29" si="16">(AQ29-AQ28)/AQ28</f>
        <v>3.2753163824458476E-2</v>
      </c>
    </row>
    <row r="30" spans="2:63">
      <c r="M30" s="18" t="s">
        <v>46</v>
      </c>
      <c r="N30" s="16">
        <v>2022</v>
      </c>
      <c r="O30" s="42">
        <v>926</v>
      </c>
      <c r="P30" s="39">
        <f>(O30-O29)/O29</f>
        <v>4.0449438202247189E-2</v>
      </c>
      <c r="Q30" s="38">
        <v>23038</v>
      </c>
      <c r="R30" s="39">
        <f>(Q30-Q29)/Q29</f>
        <v>3.3975135765899195E-2</v>
      </c>
      <c r="S30" s="38">
        <v>47050</v>
      </c>
      <c r="T30" s="37">
        <f>(S30-S29)/S29</f>
        <v>0.23835342422487762</v>
      </c>
      <c r="U30" s="38">
        <v>1083932060</v>
      </c>
      <c r="V30" s="37">
        <f>(U30-U29)/U29</f>
        <v>0.28040531289999671</v>
      </c>
      <c r="Y30" t="s">
        <v>126</v>
      </c>
      <c r="Z30" t="s">
        <v>275</v>
      </c>
      <c r="AH30" s="18" t="s">
        <v>126</v>
      </c>
      <c r="AI30" s="18" t="s">
        <v>220</v>
      </c>
      <c r="AJ30" s="18">
        <v>2020</v>
      </c>
      <c r="AK30" s="38">
        <v>2509</v>
      </c>
      <c r="AL30" s="37" t="s">
        <v>205</v>
      </c>
      <c r="AM30" s="38">
        <v>23998</v>
      </c>
      <c r="AN30" s="37" t="s">
        <v>205</v>
      </c>
      <c r="AO30" s="38">
        <v>11685</v>
      </c>
      <c r="AP30" s="37" t="s">
        <v>205</v>
      </c>
      <c r="AQ30" s="38">
        <v>280410140</v>
      </c>
      <c r="AR30" s="37" t="s">
        <v>205</v>
      </c>
    </row>
    <row r="31" spans="2:63">
      <c r="M31" s="18" t="s">
        <v>47</v>
      </c>
      <c r="N31" s="16">
        <v>2020</v>
      </c>
      <c r="O31" s="42">
        <v>922</v>
      </c>
      <c r="P31" s="36" t="s">
        <v>205</v>
      </c>
      <c r="Q31" s="38">
        <v>21646</v>
      </c>
      <c r="R31" s="36" t="s">
        <v>205</v>
      </c>
      <c r="S31" s="38">
        <v>18397</v>
      </c>
      <c r="T31" s="36" t="s">
        <v>205</v>
      </c>
      <c r="U31" s="38">
        <v>398216330</v>
      </c>
      <c r="V31" s="36" t="s">
        <v>205</v>
      </c>
      <c r="Y31" t="s">
        <v>274</v>
      </c>
      <c r="Z31" t="s">
        <v>276</v>
      </c>
      <c r="AH31" s="18" t="s">
        <v>126</v>
      </c>
      <c r="AI31" s="18" t="s">
        <v>220</v>
      </c>
      <c r="AJ31" s="18">
        <v>2021</v>
      </c>
      <c r="AK31" s="38">
        <v>2860</v>
      </c>
      <c r="AL31" s="37">
        <f t="shared" si="10"/>
        <v>0.13989637305699482</v>
      </c>
      <c r="AM31" s="38">
        <v>27633</v>
      </c>
      <c r="AN31" s="37">
        <f t="shared" ref="AN31" si="17">(AM31-AM30)/AM30</f>
        <v>0.15147095591299276</v>
      </c>
      <c r="AO31" s="38">
        <v>12238</v>
      </c>
      <c r="AP31" s="37">
        <f t="shared" ref="AP31" si="18">(AO31-AO30)/AO30</f>
        <v>4.7325631151048354E-2</v>
      </c>
      <c r="AQ31" s="38">
        <v>338170490</v>
      </c>
      <c r="AR31" s="37">
        <f t="shared" ref="AR31" si="19">(AQ31-AQ30)/AQ30</f>
        <v>0.20598524004873719</v>
      </c>
      <c r="BK31" t="s">
        <v>254</v>
      </c>
    </row>
    <row r="32" spans="2:63">
      <c r="M32" s="18" t="s">
        <v>47</v>
      </c>
      <c r="N32" s="16">
        <v>2021</v>
      </c>
      <c r="O32" s="42">
        <v>1031</v>
      </c>
      <c r="P32" s="37">
        <f>(O32-O31)/O31</f>
        <v>0.11822125813449023</v>
      </c>
      <c r="Q32" s="38">
        <v>26051</v>
      </c>
      <c r="R32" s="37">
        <f>(Q32-Q31)/Q31</f>
        <v>0.20350180171856233</v>
      </c>
      <c r="S32" s="38">
        <v>38343</v>
      </c>
      <c r="T32" s="37">
        <f>(S32-S31)/S31</f>
        <v>1.0841985106267327</v>
      </c>
      <c r="U32" s="38">
        <v>998867170</v>
      </c>
      <c r="V32" s="37">
        <f>(U32-U31)/U31</f>
        <v>1.5083531104814309</v>
      </c>
      <c r="AH32" s="18" t="s">
        <v>126</v>
      </c>
      <c r="AI32" s="18" t="s">
        <v>220</v>
      </c>
      <c r="AJ32" s="18">
        <v>2022</v>
      </c>
      <c r="AK32" s="38">
        <v>3000</v>
      </c>
      <c r="AL32" s="37">
        <f t="shared" si="10"/>
        <v>4.8951048951048952E-2</v>
      </c>
      <c r="AM32" s="38">
        <v>27449</v>
      </c>
      <c r="AN32" s="37">
        <f t="shared" ref="AN32" si="20">(AM32-AM31)/AM31</f>
        <v>-6.6587051713530923E-3</v>
      </c>
      <c r="AO32" s="38">
        <v>12750</v>
      </c>
      <c r="AP32" s="37">
        <f t="shared" ref="AP32" si="21">(AO32-AO31)/AO31</f>
        <v>4.1836901454486028E-2</v>
      </c>
      <c r="AQ32" s="38">
        <v>349975160</v>
      </c>
      <c r="AR32" s="37">
        <f t="shared" ref="AR32" si="22">(AQ32-AQ31)/AQ31</f>
        <v>3.490745156385467E-2</v>
      </c>
      <c r="AS32" s="15"/>
      <c r="AT32" s="15"/>
      <c r="AU32" t="s">
        <v>229</v>
      </c>
      <c r="BK32" s="49" t="s">
        <v>255</v>
      </c>
    </row>
    <row r="33" spans="2:48">
      <c r="M33" s="18" t="s">
        <v>47</v>
      </c>
      <c r="N33" s="16">
        <v>2022</v>
      </c>
      <c r="O33" s="42">
        <v>1089</v>
      </c>
      <c r="P33" s="41">
        <f>(O33-O32)/O32</f>
        <v>5.6256062075654707E-2</v>
      </c>
      <c r="Q33" s="38">
        <v>27043</v>
      </c>
      <c r="R33" s="39">
        <f>(Q33-Q32)/Q32</f>
        <v>3.8079152431768452E-2</v>
      </c>
      <c r="S33" s="38">
        <v>47120</v>
      </c>
      <c r="T33" s="37">
        <f>(S33-S32)/S32</f>
        <v>0.22890749289309653</v>
      </c>
      <c r="U33" s="38">
        <v>1274256880</v>
      </c>
      <c r="V33" s="37">
        <f>(U33-U32)/U32</f>
        <v>0.27570203353464906</v>
      </c>
      <c r="AH33" s="18" t="s">
        <v>126</v>
      </c>
      <c r="AI33" s="18" t="s">
        <v>127</v>
      </c>
      <c r="AJ33" s="18">
        <v>2020</v>
      </c>
      <c r="AK33" s="38">
        <v>2509</v>
      </c>
      <c r="AL33" s="37" t="s">
        <v>205</v>
      </c>
      <c r="AM33" s="38">
        <v>27564</v>
      </c>
      <c r="AN33" s="37" t="s">
        <v>205</v>
      </c>
      <c r="AO33" s="38">
        <v>13075</v>
      </c>
      <c r="AP33" s="37" t="s">
        <v>205</v>
      </c>
      <c r="AQ33" s="38">
        <v>360401350</v>
      </c>
      <c r="AR33" s="37" t="s">
        <v>205</v>
      </c>
      <c r="AS33" s="15"/>
      <c r="AT33" s="15"/>
      <c r="AU33" s="44" t="s">
        <v>230</v>
      </c>
      <c r="AV33" s="31"/>
    </row>
    <row r="34" spans="2:48">
      <c r="M34" s="18" t="s">
        <v>0</v>
      </c>
      <c r="N34" s="16">
        <v>2020</v>
      </c>
      <c r="O34" s="38">
        <v>514</v>
      </c>
      <c r="P34" s="36" t="s">
        <v>205</v>
      </c>
      <c r="Q34" s="38">
        <v>11926</v>
      </c>
      <c r="R34" s="36" t="s">
        <v>205</v>
      </c>
      <c r="S34" s="38">
        <v>18481</v>
      </c>
      <c r="T34" s="36" t="s">
        <v>205</v>
      </c>
      <c r="U34" s="38">
        <v>220403870</v>
      </c>
      <c r="V34" s="36" t="s">
        <v>205</v>
      </c>
      <c r="AH34" s="18" t="s">
        <v>126</v>
      </c>
      <c r="AI34" s="18" t="s">
        <v>127</v>
      </c>
      <c r="AJ34" s="18">
        <v>2021</v>
      </c>
      <c r="AK34" s="38">
        <v>2859</v>
      </c>
      <c r="AL34" s="37">
        <f t="shared" si="10"/>
        <v>0.13949780789159028</v>
      </c>
      <c r="AM34" s="38">
        <v>32011</v>
      </c>
      <c r="AN34" s="37">
        <f t="shared" ref="AN34" si="23">(AM34-AM33)/AM33</f>
        <v>0.16133362356697142</v>
      </c>
      <c r="AO34" s="38">
        <v>13613</v>
      </c>
      <c r="AP34" s="37">
        <f t="shared" ref="AP34" si="24">(AO34-AO33)/AO33</f>
        <v>4.1147227533460805E-2</v>
      </c>
      <c r="AQ34" s="38">
        <v>435751800</v>
      </c>
      <c r="AR34" s="37">
        <f t="shared" ref="AR34" si="25">(AQ34-AQ33)/AQ33</f>
        <v>0.20907371739867234</v>
      </c>
      <c r="AS34" s="15"/>
      <c r="AT34" s="15"/>
      <c r="AU34" s="30" t="s">
        <v>232</v>
      </c>
      <c r="AV34" s="31"/>
    </row>
    <row r="35" spans="2:48">
      <c r="B35" t="s">
        <v>160</v>
      </c>
      <c r="M35" s="18" t="s">
        <v>0</v>
      </c>
      <c r="N35" s="16">
        <v>2021</v>
      </c>
      <c r="O35" s="38">
        <v>579</v>
      </c>
      <c r="P35" s="37">
        <f>(O35-O34)/O34</f>
        <v>0.12645914396887159</v>
      </c>
      <c r="Q35" s="38">
        <v>14456</v>
      </c>
      <c r="R35" s="37">
        <f>(Q35-Q34)/Q34</f>
        <v>0.21214153949354353</v>
      </c>
      <c r="S35" s="38">
        <v>38592</v>
      </c>
      <c r="T35" s="37">
        <f>(S35-S34)/S34</f>
        <v>1.0881986905470484</v>
      </c>
      <c r="U35" s="38">
        <v>557881350</v>
      </c>
      <c r="V35" s="37">
        <f>(U35-U34)/U34</f>
        <v>1.531177651281713</v>
      </c>
      <c r="AH35" s="18" t="s">
        <v>126</v>
      </c>
      <c r="AI35" s="18" t="s">
        <v>127</v>
      </c>
      <c r="AJ35" s="18">
        <v>2022</v>
      </c>
      <c r="AK35" s="38">
        <v>3000</v>
      </c>
      <c r="AL35" s="37">
        <f t="shared" si="10"/>
        <v>4.9317943336831059E-2</v>
      </c>
      <c r="AM35" s="38">
        <v>31819</v>
      </c>
      <c r="AN35" s="37">
        <f t="shared" ref="AN35" si="26">(AM35-AM34)/AM34</f>
        <v>-5.9979382087407456E-3</v>
      </c>
      <c r="AO35" s="38">
        <v>14126</v>
      </c>
      <c r="AP35" s="37">
        <f t="shared" ref="AP35" si="27">(AO35-AO34)/AO34</f>
        <v>3.7684566223462869E-2</v>
      </c>
      <c r="AQ35" s="38">
        <v>449475060</v>
      </c>
      <c r="AR35" s="37">
        <f t="shared" ref="AR35" si="28">(AQ35-AQ34)/AQ34</f>
        <v>3.1493295036302778E-2</v>
      </c>
      <c r="AU35" t="s">
        <v>231</v>
      </c>
    </row>
    <row r="36" spans="2:48">
      <c r="M36" s="18" t="s">
        <v>0</v>
      </c>
      <c r="N36" s="16">
        <v>2022</v>
      </c>
      <c r="O36" s="38">
        <v>609</v>
      </c>
      <c r="P36" s="37">
        <f>(O36-O35)/O35</f>
        <v>5.181347150259067E-2</v>
      </c>
      <c r="Q36" s="38">
        <v>15173</v>
      </c>
      <c r="R36" s="37">
        <f>(Q36-Q35)/Q35</f>
        <v>4.9598782512451575E-2</v>
      </c>
      <c r="S36" s="38">
        <v>47040</v>
      </c>
      <c r="T36" s="37">
        <f>(S36-S35)/S35</f>
        <v>0.21890547263681592</v>
      </c>
      <c r="U36" s="38">
        <v>713738010</v>
      </c>
      <c r="V36" s="37">
        <f>(U36-U35)/U35</f>
        <v>0.27937241494091891</v>
      </c>
      <c r="AH36" s="18" t="s">
        <v>126</v>
      </c>
      <c r="AI36" s="18" t="s">
        <v>146</v>
      </c>
      <c r="AJ36" s="18">
        <v>2020</v>
      </c>
      <c r="AK36" s="38">
        <v>2509</v>
      </c>
      <c r="AL36" s="37" t="s">
        <v>205</v>
      </c>
      <c r="AM36" s="38">
        <v>43812</v>
      </c>
      <c r="AN36" s="37" t="s">
        <v>205</v>
      </c>
      <c r="AO36" s="38">
        <v>6470</v>
      </c>
      <c r="AP36" s="37" t="s">
        <v>205</v>
      </c>
      <c r="AQ36" s="38">
        <v>283472740</v>
      </c>
      <c r="AR36" s="37" t="s">
        <v>205</v>
      </c>
    </row>
    <row r="37" spans="2:48">
      <c r="M37" s="18" t="s">
        <v>48</v>
      </c>
      <c r="N37" s="16">
        <v>2020</v>
      </c>
      <c r="O37" s="38">
        <v>202</v>
      </c>
      <c r="P37" s="36" t="s">
        <v>205</v>
      </c>
      <c r="Q37" s="38">
        <v>4632</v>
      </c>
      <c r="R37" s="36" t="s">
        <v>205</v>
      </c>
      <c r="S37" s="38">
        <v>18439</v>
      </c>
      <c r="T37" s="36" t="s">
        <v>205</v>
      </c>
      <c r="U37" s="38">
        <v>85410080</v>
      </c>
      <c r="V37" s="36" t="s">
        <v>205</v>
      </c>
      <c r="AH37" s="18" t="s">
        <v>126</v>
      </c>
      <c r="AI37" s="18" t="s">
        <v>146</v>
      </c>
      <c r="AJ37" s="18">
        <v>2021</v>
      </c>
      <c r="AK37" s="38">
        <v>2860</v>
      </c>
      <c r="AL37" s="37">
        <f t="shared" si="10"/>
        <v>0.13989637305699482</v>
      </c>
      <c r="AM37" s="38">
        <v>50283</v>
      </c>
      <c r="AN37" s="37">
        <f t="shared" ref="AN37" si="29">(AM37-AM36)/AM36</f>
        <v>0.14769926047658175</v>
      </c>
      <c r="AO37" s="38">
        <v>6794</v>
      </c>
      <c r="AP37" s="37">
        <f t="shared" ref="AP37" si="30">(AO37-AO36)/AO36</f>
        <v>5.007727975270479E-2</v>
      </c>
      <c r="AQ37" s="38">
        <v>341629530</v>
      </c>
      <c r="AR37" s="37">
        <f t="shared" ref="AR37" si="31">(AQ37-AQ36)/AQ36</f>
        <v>0.20515831610475138</v>
      </c>
    </row>
    <row r="38" spans="2:48">
      <c r="M38" s="18" t="s">
        <v>48</v>
      </c>
      <c r="N38" s="16">
        <v>2021</v>
      </c>
      <c r="O38" s="38">
        <v>235</v>
      </c>
      <c r="P38" s="37">
        <f>(O38-O37)/O37</f>
        <v>0.16336633663366337</v>
      </c>
      <c r="Q38" s="38">
        <v>5971</v>
      </c>
      <c r="R38" s="37">
        <f>(Q38-Q37)/Q37</f>
        <v>0.28907599309153714</v>
      </c>
      <c r="S38" s="38">
        <v>38664</v>
      </c>
      <c r="T38" s="37">
        <f>(S38-S37)/S37</f>
        <v>1.096859916481371</v>
      </c>
      <c r="U38" s="38">
        <v>230859800</v>
      </c>
      <c r="V38" s="37">
        <f>(U38-U37)/U37</f>
        <v>1.7029573090201999</v>
      </c>
      <c r="AH38" s="18" t="s">
        <v>126</v>
      </c>
      <c r="AI38" s="18" t="s">
        <v>146</v>
      </c>
      <c r="AJ38" s="18">
        <v>2022</v>
      </c>
      <c r="AK38" s="38">
        <v>3000</v>
      </c>
      <c r="AL38" s="37">
        <f t="shared" si="10"/>
        <v>4.8951048951048952E-2</v>
      </c>
      <c r="AM38" s="38">
        <v>50577</v>
      </c>
      <c r="AN38" s="37">
        <f t="shared" ref="AN38" si="32">(AM38-AM37)/AM37</f>
        <v>5.8469065091581651E-3</v>
      </c>
      <c r="AO38" s="38">
        <v>6936</v>
      </c>
      <c r="AP38" s="37">
        <f t="shared" ref="AP38" si="33">(AO38-AO37)/AO37</f>
        <v>2.0900794818957905E-2</v>
      </c>
      <c r="AQ38" s="38">
        <v>350818800</v>
      </c>
      <c r="AR38" s="37">
        <f t="shared" ref="AR38" si="34">(AQ38-AQ37)/AQ37</f>
        <v>2.6898348043859089E-2</v>
      </c>
    </row>
    <row r="39" spans="2:48">
      <c r="M39" s="18" t="s">
        <v>48</v>
      </c>
      <c r="N39" s="16">
        <v>2022</v>
      </c>
      <c r="O39" s="38">
        <v>246</v>
      </c>
      <c r="P39" s="37">
        <f>(O39-O38)/O38</f>
        <v>4.6808510638297871E-2</v>
      </c>
      <c r="Q39" s="38">
        <v>6306</v>
      </c>
      <c r="R39" s="37">
        <f>(Q39-Q38)/Q38</f>
        <v>5.6104505108022104E-2</v>
      </c>
      <c r="S39" s="38">
        <v>47052</v>
      </c>
      <c r="T39" s="37">
        <f>(S39-S38)/S38</f>
        <v>0.21694599627560521</v>
      </c>
      <c r="U39" s="38">
        <v>296709830</v>
      </c>
      <c r="V39" s="37">
        <f>(U39-U38)/U38</f>
        <v>0.28523818352090752</v>
      </c>
      <c r="AH39" s="18" t="s">
        <v>126</v>
      </c>
      <c r="AI39" s="18" t="s">
        <v>147</v>
      </c>
      <c r="AJ39" s="18">
        <v>2020</v>
      </c>
      <c r="AK39" s="38">
        <v>2501</v>
      </c>
      <c r="AL39" s="37" t="s">
        <v>205</v>
      </c>
      <c r="AM39" s="38">
        <v>14787</v>
      </c>
      <c r="AN39" s="37" t="s">
        <v>205</v>
      </c>
      <c r="AO39" s="38">
        <v>9591</v>
      </c>
      <c r="AP39" s="37" t="s">
        <v>205</v>
      </c>
      <c r="AQ39" s="38">
        <v>141821220</v>
      </c>
      <c r="AR39" s="37" t="s">
        <v>205</v>
      </c>
      <c r="AU39" t="s">
        <v>235</v>
      </c>
    </row>
    <row r="40" spans="2:48">
      <c r="M40" s="18" t="s">
        <v>212</v>
      </c>
      <c r="N40" s="16">
        <v>2020</v>
      </c>
      <c r="O40" s="38">
        <v>106</v>
      </c>
      <c r="P40" s="36" t="s">
        <v>205</v>
      </c>
      <c r="Q40" s="38">
        <v>2430</v>
      </c>
      <c r="R40" s="36" t="s">
        <v>205</v>
      </c>
      <c r="S40" s="38">
        <v>18629</v>
      </c>
      <c r="T40" s="36" t="s">
        <v>205</v>
      </c>
      <c r="U40" s="38">
        <v>45267590</v>
      </c>
      <c r="V40" s="36" t="s">
        <v>205</v>
      </c>
      <c r="AH40" s="18" t="s">
        <v>126</v>
      </c>
      <c r="AI40" s="18" t="s">
        <v>147</v>
      </c>
      <c r="AJ40" s="18">
        <v>2021</v>
      </c>
      <c r="AK40" s="38">
        <v>2850</v>
      </c>
      <c r="AL40" s="37">
        <f t="shared" ref="AL40:AN43" si="35">(AK40-AK39)/AK39</f>
        <v>0.13954418232706917</v>
      </c>
      <c r="AM40" s="38">
        <v>17134</v>
      </c>
      <c r="AN40" s="37">
        <f t="shared" si="35"/>
        <v>0.15872049773449651</v>
      </c>
      <c r="AO40" s="38">
        <v>9957</v>
      </c>
      <c r="AP40" s="37">
        <f t="shared" ref="AP40" si="36">(AO40-AO39)/AO39</f>
        <v>3.8160775727244294E-2</v>
      </c>
      <c r="AQ40" s="38">
        <v>170609190</v>
      </c>
      <c r="AR40" s="37">
        <f t="shared" ref="AR40" si="37">(AQ40-AQ39)/AQ39</f>
        <v>0.20298774753171633</v>
      </c>
    </row>
    <row r="41" spans="2:48">
      <c r="M41" s="18" t="s">
        <v>212</v>
      </c>
      <c r="N41" s="16">
        <v>2021</v>
      </c>
      <c r="O41" s="38">
        <v>125</v>
      </c>
      <c r="P41" s="37">
        <f>(O41-O40)/O40</f>
        <v>0.17924528301886791</v>
      </c>
      <c r="Q41" s="38">
        <v>3133</v>
      </c>
      <c r="R41" s="37">
        <f>(Q41-Q40)/Q40</f>
        <v>0.28930041152263375</v>
      </c>
      <c r="S41" s="38">
        <v>38251</v>
      </c>
      <c r="T41" s="37">
        <f>(S41-S40)/S40</f>
        <v>1.0533039884051747</v>
      </c>
      <c r="U41" s="38">
        <v>119840160</v>
      </c>
      <c r="V41" s="37">
        <f>(U41-U40)/U40</f>
        <v>1.647372214867193</v>
      </c>
      <c r="AH41" s="18" t="s">
        <v>126</v>
      </c>
      <c r="AI41" s="18" t="s">
        <v>147</v>
      </c>
      <c r="AJ41" s="18">
        <v>2022</v>
      </c>
      <c r="AK41" s="38">
        <v>2992</v>
      </c>
      <c r="AL41" s="37">
        <f t="shared" si="35"/>
        <v>4.9824561403508771E-2</v>
      </c>
      <c r="AM41" s="38">
        <v>16944</v>
      </c>
      <c r="AN41" s="37">
        <f t="shared" si="35"/>
        <v>-1.10890626823859E-2</v>
      </c>
      <c r="AO41" s="38">
        <v>10397</v>
      </c>
      <c r="AP41" s="37">
        <f t="shared" ref="AP41" si="38">(AO41-AO40)/AO40</f>
        <v>4.4190017073415688E-2</v>
      </c>
      <c r="AQ41" s="38">
        <v>176161330</v>
      </c>
      <c r="AR41" s="37">
        <f t="shared" ref="AR41" si="39">(AQ41-AQ40)/AQ40</f>
        <v>3.2543030067723785E-2</v>
      </c>
    </row>
    <row r="42" spans="2:48">
      <c r="M42" s="18" t="s">
        <v>212</v>
      </c>
      <c r="N42" s="16">
        <v>2022</v>
      </c>
      <c r="O42" s="38">
        <v>130</v>
      </c>
      <c r="P42" s="37">
        <f>(O42-O41)/O41</f>
        <v>0.04</v>
      </c>
      <c r="Q42" s="38">
        <v>3194</v>
      </c>
      <c r="R42" s="39">
        <f>(Q42-Q41)/Q41</f>
        <v>1.9470156399616981E-2</v>
      </c>
      <c r="S42" s="38">
        <v>46762</v>
      </c>
      <c r="T42" s="37">
        <f>(S42-S41)/S41</f>
        <v>0.22250398682387387</v>
      </c>
      <c r="U42" s="38">
        <v>149357730</v>
      </c>
      <c r="V42" s="37">
        <f>(U42-U41)/U41</f>
        <v>0.24630783203226697</v>
      </c>
      <c r="AH42" s="18" t="s">
        <v>166</v>
      </c>
      <c r="AI42" s="18" t="s">
        <v>145</v>
      </c>
      <c r="AJ42" s="18">
        <v>2021</v>
      </c>
      <c r="AK42" s="38">
        <v>2771</v>
      </c>
      <c r="AL42" s="37" t="s">
        <v>205</v>
      </c>
      <c r="AM42" s="38">
        <v>10045</v>
      </c>
      <c r="AN42" s="37" t="s">
        <v>205</v>
      </c>
      <c r="AO42" s="38">
        <v>4075</v>
      </c>
      <c r="AP42" s="37" t="s">
        <v>205</v>
      </c>
      <c r="AQ42" s="38">
        <v>40936180</v>
      </c>
      <c r="AR42" s="37" t="s">
        <v>205</v>
      </c>
    </row>
    <row r="43" spans="2:48">
      <c r="AH43" s="18" t="s">
        <v>166</v>
      </c>
      <c r="AI43" s="18" t="s">
        <v>145</v>
      </c>
      <c r="AJ43" s="18">
        <v>2022</v>
      </c>
      <c r="AK43" s="38">
        <v>2941</v>
      </c>
      <c r="AL43" s="37">
        <f t="shared" si="35"/>
        <v>6.1349693251533742E-2</v>
      </c>
      <c r="AM43" s="38">
        <v>12379</v>
      </c>
      <c r="AN43" s="37">
        <f t="shared" si="35"/>
        <v>0.23235440517670483</v>
      </c>
      <c r="AO43" s="38">
        <v>4302</v>
      </c>
      <c r="AP43" s="37">
        <f t="shared" ref="AP43" si="40">(AO43-AO42)/AO42</f>
        <v>5.570552147239264E-2</v>
      </c>
      <c r="AQ43" s="38">
        <v>53250030</v>
      </c>
      <c r="AR43" s="37">
        <f t="shared" ref="AR43" si="41">(AQ43-AQ42)/AQ42</f>
        <v>0.30080603515032422</v>
      </c>
    </row>
    <row r="44" spans="2:48">
      <c r="M44" s="32" t="s">
        <v>224</v>
      </c>
      <c r="AH44" s="18" t="s">
        <v>166</v>
      </c>
      <c r="AI44" s="18" t="s">
        <v>166</v>
      </c>
      <c r="AJ44" s="18">
        <v>2021</v>
      </c>
      <c r="AK44" s="38">
        <v>2751</v>
      </c>
      <c r="AL44" s="37" t="s">
        <v>205</v>
      </c>
      <c r="AM44" s="38">
        <v>9779</v>
      </c>
      <c r="AN44" s="37" t="s">
        <v>205</v>
      </c>
      <c r="AO44" s="38">
        <v>7443</v>
      </c>
      <c r="AP44" s="37" t="s">
        <v>205</v>
      </c>
      <c r="AQ44" s="38">
        <v>72789830</v>
      </c>
      <c r="AR44" s="37" t="s">
        <v>205</v>
      </c>
    </row>
    <row r="45" spans="2:48">
      <c r="AH45" s="18" t="s">
        <v>166</v>
      </c>
      <c r="AI45" s="18" t="s">
        <v>166</v>
      </c>
      <c r="AJ45" s="18">
        <v>2022</v>
      </c>
      <c r="AK45" s="38">
        <v>2949</v>
      </c>
      <c r="AL45" s="37">
        <f>(AK45-AK44)/AK44</f>
        <v>7.1973827699018542E-2</v>
      </c>
      <c r="AM45" s="38">
        <v>12096</v>
      </c>
      <c r="AN45" s="37">
        <f>(AM45-AM44)/AM44</f>
        <v>0.23693629205440228</v>
      </c>
      <c r="AO45" s="38">
        <v>7897</v>
      </c>
      <c r="AP45" s="37">
        <f>(AO45-AO44)/AO44</f>
        <v>6.0996909848179501E-2</v>
      </c>
      <c r="AQ45" s="38">
        <v>95522680</v>
      </c>
      <c r="AR45" s="37">
        <f>(AQ45-AQ44)/AQ44</f>
        <v>0.31230805182537175</v>
      </c>
    </row>
    <row r="49" spans="2:63">
      <c r="B49" t="s">
        <v>193</v>
      </c>
    </row>
    <row r="54" spans="2:63">
      <c r="BK54" t="s">
        <v>256</v>
      </c>
    </row>
    <row r="55" spans="2:63">
      <c r="BK55" s="49" t="s">
        <v>257</v>
      </c>
    </row>
    <row r="59" spans="2:63">
      <c r="B59" t="s">
        <v>194</v>
      </c>
    </row>
    <row r="77" spans="34:47">
      <c r="AU77" t="s">
        <v>236</v>
      </c>
    </row>
    <row r="78" spans="34:47">
      <c r="AH78" t="s">
        <v>196</v>
      </c>
    </row>
    <row r="79" spans="34:47">
      <c r="AH79" t="s">
        <v>197</v>
      </c>
    </row>
    <row r="81" spans="3:63">
      <c r="AU81" t="s">
        <v>237</v>
      </c>
    </row>
    <row r="82" spans="3:63">
      <c r="BK82" t="s">
        <v>258</v>
      </c>
    </row>
    <row r="83" spans="3:63">
      <c r="BK83" s="49" t="s">
        <v>259</v>
      </c>
    </row>
    <row r="85" spans="3:63">
      <c r="C85" t="s">
        <v>199</v>
      </c>
    </row>
    <row r="87" spans="3:63">
      <c r="AY87" s="45"/>
      <c r="AZ87" s="45"/>
    </row>
    <row r="88" spans="3:63">
      <c r="AY88" s="45"/>
      <c r="AZ88" s="45"/>
    </row>
    <row r="89" spans="3:63">
      <c r="AY89" s="45"/>
      <c r="AZ89" s="45"/>
    </row>
    <row r="90" spans="3:63">
      <c r="AY90" s="45"/>
      <c r="AZ90" s="45"/>
    </row>
    <row r="91" spans="3:63">
      <c r="AY91" s="45"/>
      <c r="AZ91" s="45"/>
    </row>
    <row r="92" spans="3:63">
      <c r="AY92" s="45"/>
      <c r="AZ92" s="45"/>
    </row>
    <row r="93" spans="3:63">
      <c r="AY93" s="45"/>
      <c r="AZ93" s="45"/>
    </row>
    <row r="94" spans="3:63">
      <c r="AY94" s="45"/>
      <c r="AZ94" s="45"/>
    </row>
    <row r="95" spans="3:63">
      <c r="AY95" s="45"/>
      <c r="AZ95" s="45"/>
    </row>
    <row r="96" spans="3:63">
      <c r="AY96" s="45"/>
      <c r="AZ96" s="45"/>
    </row>
    <row r="97" spans="47:52">
      <c r="AY97" s="45"/>
      <c r="AZ97" s="45"/>
    </row>
    <row r="98" spans="47:52">
      <c r="AY98" s="45"/>
      <c r="AZ98" s="45"/>
    </row>
    <row r="99" spans="47:52">
      <c r="AY99" s="45"/>
      <c r="AZ99" s="45"/>
    </row>
    <row r="100" spans="47:52">
      <c r="AY100" s="45"/>
      <c r="AZ100" s="45"/>
    </row>
    <row r="101" spans="47:52">
      <c r="AY101" s="45"/>
      <c r="AZ101" s="45"/>
    </row>
    <row r="102" spans="47:52">
      <c r="AY102" s="45"/>
      <c r="AZ102" s="45"/>
    </row>
    <row r="103" spans="47:52">
      <c r="AY103" s="45"/>
      <c r="AZ103" s="45"/>
    </row>
    <row r="104" spans="47:52">
      <c r="AY104" s="45"/>
      <c r="AZ104" s="45"/>
    </row>
    <row r="105" spans="47:52">
      <c r="AU105" t="s">
        <v>238</v>
      </c>
    </row>
    <row r="114" spans="3:3">
      <c r="C114" t="s">
        <v>198</v>
      </c>
    </row>
  </sheetData>
  <mergeCells count="1">
    <mergeCell ref="AH16:AI16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931E-CC77-4537-B5DF-219CE86ED8E5}">
  <dimension ref="A1:R74"/>
  <sheetViews>
    <sheetView showGridLines="0" workbookViewId="0">
      <selection activeCell="C23" sqref="C23"/>
    </sheetView>
  </sheetViews>
  <sheetFormatPr defaultRowHeight="17.399999999999999"/>
  <cols>
    <col min="1" max="1" width="12.09765625" bestFit="1" customWidth="1"/>
    <col min="2" max="2" width="16.59765625" bestFit="1" customWidth="1"/>
    <col min="3" max="3" width="15.69921875" bestFit="1" customWidth="1"/>
    <col min="4" max="4" width="17.8984375" bestFit="1" customWidth="1"/>
    <col min="5" max="5" width="17" bestFit="1" customWidth="1"/>
    <col min="6" max="6" width="16.5" bestFit="1" customWidth="1"/>
    <col min="7" max="7" width="19.59765625" bestFit="1" customWidth="1"/>
    <col min="8" max="9" width="19.59765625" customWidth="1"/>
    <col min="10" max="11" width="13.59765625" bestFit="1" customWidth="1"/>
    <col min="12" max="12" width="11.19921875" bestFit="1" customWidth="1"/>
    <col min="15" max="15" width="14.5" customWidth="1"/>
    <col min="18" max="18" width="15.59765625" bestFit="1" customWidth="1"/>
  </cols>
  <sheetData>
    <row r="1" spans="1:18">
      <c r="A1" s="64" t="s">
        <v>277</v>
      </c>
      <c r="B1" s="64" t="s">
        <v>438</v>
      </c>
      <c r="C1" s="64" t="s">
        <v>440</v>
      </c>
      <c r="D1" s="64" t="s">
        <v>439</v>
      </c>
      <c r="E1" s="64" t="s">
        <v>441</v>
      </c>
      <c r="F1" s="64" t="s">
        <v>114</v>
      </c>
      <c r="G1" s="64" t="s">
        <v>442</v>
      </c>
      <c r="H1" s="64" t="s">
        <v>278</v>
      </c>
      <c r="I1" s="64" t="s">
        <v>279</v>
      </c>
      <c r="J1" s="64" t="s">
        <v>437</v>
      </c>
      <c r="K1" s="64" t="s">
        <v>436</v>
      </c>
      <c r="L1" s="64" t="s">
        <v>447</v>
      </c>
      <c r="O1" s="62"/>
    </row>
    <row r="2" spans="1:18">
      <c r="A2" s="63" t="s">
        <v>299</v>
      </c>
      <c r="B2" s="63" t="s">
        <v>281</v>
      </c>
      <c r="C2" s="63" t="s">
        <v>449</v>
      </c>
      <c r="D2" s="63" t="s">
        <v>443</v>
      </c>
      <c r="E2" s="63" t="s">
        <v>455</v>
      </c>
      <c r="F2" s="63" t="s">
        <v>291</v>
      </c>
      <c r="G2" s="63" t="s">
        <v>476</v>
      </c>
      <c r="H2" s="63" t="s">
        <v>291</v>
      </c>
      <c r="I2" s="63" t="str">
        <f t="shared" ref="I2:I33" si="0">CONCATENATE("'",H2,"'")</f>
        <v>'국수'</v>
      </c>
      <c r="J2" s="63" t="s">
        <v>143</v>
      </c>
      <c r="K2" s="63" t="s">
        <v>143</v>
      </c>
      <c r="L2" s="63">
        <v>1106</v>
      </c>
    </row>
    <row r="3" spans="1:18">
      <c r="A3" s="63" t="s">
        <v>320</v>
      </c>
      <c r="B3" s="63" t="s">
        <v>281</v>
      </c>
      <c r="C3" s="63" t="s">
        <v>449</v>
      </c>
      <c r="D3" s="63" t="s">
        <v>443</v>
      </c>
      <c r="E3" s="63" t="s">
        <v>455</v>
      </c>
      <c r="F3" s="63" t="s">
        <v>305</v>
      </c>
      <c r="G3" s="63" t="s">
        <v>484</v>
      </c>
      <c r="H3" s="63" t="s">
        <v>305</v>
      </c>
      <c r="I3" s="63" t="str">
        <f t="shared" si="0"/>
        <v>'당면'</v>
      </c>
      <c r="J3" s="63" t="s">
        <v>143</v>
      </c>
      <c r="K3" s="63" t="s">
        <v>143</v>
      </c>
      <c r="L3" s="63">
        <v>992</v>
      </c>
    </row>
    <row r="4" spans="1:18">
      <c r="A4" s="63" t="s">
        <v>333</v>
      </c>
      <c r="B4" s="63" t="s">
        <v>281</v>
      </c>
      <c r="C4" s="63" t="s">
        <v>449</v>
      </c>
      <c r="D4" s="63" t="s">
        <v>443</v>
      </c>
      <c r="E4" s="63" t="s">
        <v>455</v>
      </c>
      <c r="F4" s="63" t="s">
        <v>334</v>
      </c>
      <c r="G4" s="63" t="s">
        <v>489</v>
      </c>
      <c r="H4" s="63" t="s">
        <v>334</v>
      </c>
      <c r="I4" s="63" t="str">
        <f t="shared" si="0"/>
        <v>'땅콩'</v>
      </c>
      <c r="J4" s="63" t="s">
        <v>143</v>
      </c>
      <c r="K4" s="63" t="s">
        <v>143</v>
      </c>
      <c r="L4" s="63">
        <v>844</v>
      </c>
    </row>
    <row r="5" spans="1:18">
      <c r="A5" s="63" t="s">
        <v>336</v>
      </c>
      <c r="B5" s="63" t="s">
        <v>281</v>
      </c>
      <c r="C5" s="63" t="s">
        <v>449</v>
      </c>
      <c r="D5" s="63" t="s">
        <v>443</v>
      </c>
      <c r="E5" s="63" t="s">
        <v>455</v>
      </c>
      <c r="F5" s="63" t="s">
        <v>313</v>
      </c>
      <c r="G5" s="63" t="s">
        <v>490</v>
      </c>
      <c r="H5" s="63" t="s">
        <v>313</v>
      </c>
      <c r="I5" s="63" t="str">
        <f t="shared" si="0"/>
        <v>'라면'</v>
      </c>
      <c r="J5" s="63" t="s">
        <v>143</v>
      </c>
      <c r="K5" s="63" t="s">
        <v>143</v>
      </c>
      <c r="L5" s="63">
        <v>2181</v>
      </c>
    </row>
    <row r="6" spans="1:18">
      <c r="A6" s="63" t="s">
        <v>347</v>
      </c>
      <c r="B6" s="63" t="s">
        <v>281</v>
      </c>
      <c r="C6" s="63" t="s">
        <v>449</v>
      </c>
      <c r="D6" s="63" t="s">
        <v>443</v>
      </c>
      <c r="E6" s="63" t="s">
        <v>455</v>
      </c>
      <c r="F6" s="63" t="s">
        <v>435</v>
      </c>
      <c r="G6" s="63" t="s">
        <v>495</v>
      </c>
      <c r="H6" s="63" t="s">
        <v>321</v>
      </c>
      <c r="I6" s="63" t="str">
        <f t="shared" si="0"/>
        <v>'밀가루'</v>
      </c>
      <c r="J6" s="63" t="s">
        <v>283</v>
      </c>
      <c r="K6" s="63" t="s">
        <v>283</v>
      </c>
      <c r="L6" s="63">
        <v>1149</v>
      </c>
      <c r="R6" s="15">
        <v>25988163481</v>
      </c>
    </row>
    <row r="7" spans="1:18">
      <c r="A7" s="63" t="s">
        <v>348</v>
      </c>
      <c r="B7" s="63" t="s">
        <v>281</v>
      </c>
      <c r="C7" s="63" t="s">
        <v>449</v>
      </c>
      <c r="D7" s="63" t="s">
        <v>443</v>
      </c>
      <c r="E7" s="63" t="s">
        <v>455</v>
      </c>
      <c r="F7" s="63" t="s">
        <v>324</v>
      </c>
      <c r="G7" s="63" t="s">
        <v>496</v>
      </c>
      <c r="H7" s="63" t="s">
        <v>324</v>
      </c>
      <c r="I7" s="63" t="str">
        <f t="shared" si="0"/>
        <v>'밤'</v>
      </c>
      <c r="J7" s="63" t="s">
        <v>143</v>
      </c>
      <c r="K7" s="63" t="s">
        <v>143</v>
      </c>
      <c r="L7" s="63">
        <v>1746</v>
      </c>
      <c r="R7">
        <v>28218142485</v>
      </c>
    </row>
    <row r="8" spans="1:18">
      <c r="A8" s="63" t="s">
        <v>353</v>
      </c>
      <c r="B8" s="63" t="s">
        <v>354</v>
      </c>
      <c r="C8" s="63" t="s">
        <v>450</v>
      </c>
      <c r="D8" s="63" t="s">
        <v>354</v>
      </c>
      <c r="E8" s="63" t="s">
        <v>455</v>
      </c>
      <c r="F8" s="63" t="s">
        <v>355</v>
      </c>
      <c r="G8" s="63" t="s">
        <v>498</v>
      </c>
      <c r="H8" s="63" t="s">
        <v>355</v>
      </c>
      <c r="I8" s="63" t="str">
        <f t="shared" si="0"/>
        <v>'보리쌀'</v>
      </c>
      <c r="J8" s="63" t="s">
        <v>283</v>
      </c>
      <c r="K8" s="63" t="s">
        <v>283</v>
      </c>
      <c r="L8" s="63">
        <v>979</v>
      </c>
      <c r="R8">
        <v>29416023764</v>
      </c>
    </row>
    <row r="9" spans="1:18">
      <c r="A9" s="63" t="s">
        <v>366</v>
      </c>
      <c r="B9" s="63" t="s">
        <v>281</v>
      </c>
      <c r="C9" s="63" t="s">
        <v>449</v>
      </c>
      <c r="D9" s="63" t="s">
        <v>443</v>
      </c>
      <c r="E9" s="63" t="s">
        <v>455</v>
      </c>
      <c r="F9" s="63" t="s">
        <v>327</v>
      </c>
      <c r="G9" s="63" t="s">
        <v>502</v>
      </c>
      <c r="H9" s="63" t="s">
        <v>327</v>
      </c>
      <c r="I9" s="63" t="str">
        <f t="shared" si="0"/>
        <v>'빵'</v>
      </c>
      <c r="J9" s="63" t="s">
        <v>143</v>
      </c>
      <c r="K9" s="63" t="s">
        <v>143</v>
      </c>
      <c r="L9" s="63">
        <v>1335</v>
      </c>
      <c r="R9">
        <v>26747968850</v>
      </c>
    </row>
    <row r="10" spans="1:18">
      <c r="A10" s="63" t="s">
        <v>392</v>
      </c>
      <c r="B10" s="63" t="s">
        <v>354</v>
      </c>
      <c r="C10" s="63" t="s">
        <v>450</v>
      </c>
      <c r="D10" s="63" t="s">
        <v>354</v>
      </c>
      <c r="E10" s="63" t="s">
        <v>455</v>
      </c>
      <c r="F10" s="63" t="s">
        <v>393</v>
      </c>
      <c r="G10" s="63" t="s">
        <v>515</v>
      </c>
      <c r="H10" s="63" t="s">
        <v>393</v>
      </c>
      <c r="I10" s="63" t="str">
        <f t="shared" si="0"/>
        <v>'쌀'</v>
      </c>
      <c r="J10" s="63" t="s">
        <v>283</v>
      </c>
      <c r="K10" s="63" t="s">
        <v>283</v>
      </c>
      <c r="L10" s="63">
        <v>1599</v>
      </c>
    </row>
    <row r="11" spans="1:18">
      <c r="A11" s="63" t="s">
        <v>394</v>
      </c>
      <c r="B11" s="63" t="s">
        <v>281</v>
      </c>
      <c r="C11" s="63" t="s">
        <v>449</v>
      </c>
      <c r="D11" s="63" t="s">
        <v>443</v>
      </c>
      <c r="E11" s="63" t="s">
        <v>455</v>
      </c>
      <c r="F11" s="63" t="s">
        <v>344</v>
      </c>
      <c r="G11" s="63" t="s">
        <v>516</v>
      </c>
      <c r="H11" s="63" t="s">
        <v>344</v>
      </c>
      <c r="I11" s="63" t="str">
        <f t="shared" si="0"/>
        <v>'아몬드'</v>
      </c>
      <c r="J11" s="63" t="s">
        <v>143</v>
      </c>
      <c r="K11" s="63" t="s">
        <v>143</v>
      </c>
      <c r="L11" s="63">
        <v>876</v>
      </c>
    </row>
    <row r="12" spans="1:18">
      <c r="A12" s="63" t="s">
        <v>410</v>
      </c>
      <c r="B12" s="63" t="s">
        <v>354</v>
      </c>
      <c r="C12" s="63" t="s">
        <v>450</v>
      </c>
      <c r="D12" s="63" t="s">
        <v>354</v>
      </c>
      <c r="E12" s="63" t="s">
        <v>455</v>
      </c>
      <c r="F12" s="63" t="s">
        <v>411</v>
      </c>
      <c r="G12" s="63" t="s">
        <v>525</v>
      </c>
      <c r="H12" s="63" t="s">
        <v>411</v>
      </c>
      <c r="I12" s="63" t="str">
        <f t="shared" si="0"/>
        <v>'찹쌀'</v>
      </c>
      <c r="J12" s="63" t="s">
        <v>283</v>
      </c>
      <c r="K12" s="63" t="s">
        <v>283</v>
      </c>
      <c r="L12" s="63">
        <v>827</v>
      </c>
    </row>
    <row r="13" spans="1:18">
      <c r="A13" s="63" t="s">
        <v>415</v>
      </c>
      <c r="B13" s="63" t="s">
        <v>354</v>
      </c>
      <c r="C13" s="63" t="s">
        <v>450</v>
      </c>
      <c r="D13" s="63" t="s">
        <v>354</v>
      </c>
      <c r="E13" s="63" t="s">
        <v>455</v>
      </c>
      <c r="F13" s="63" t="s">
        <v>359</v>
      </c>
      <c r="G13" s="63" t="s">
        <v>529</v>
      </c>
      <c r="H13" s="63" t="s">
        <v>359</v>
      </c>
      <c r="I13" s="63" t="str">
        <f t="shared" si="0"/>
        <v>'콩'</v>
      </c>
      <c r="J13" s="63" t="s">
        <v>283</v>
      </c>
      <c r="K13" s="63" t="s">
        <v>143</v>
      </c>
      <c r="L13" s="63">
        <v>1868</v>
      </c>
    </row>
    <row r="14" spans="1:18">
      <c r="A14" s="63" t="s">
        <v>421</v>
      </c>
      <c r="B14" s="63" t="s">
        <v>281</v>
      </c>
      <c r="C14" s="63" t="s">
        <v>449</v>
      </c>
      <c r="D14" s="63" t="s">
        <v>443</v>
      </c>
      <c r="E14" s="63" t="s">
        <v>455</v>
      </c>
      <c r="F14" s="63" t="s">
        <v>369</v>
      </c>
      <c r="G14" s="63" t="s">
        <v>534</v>
      </c>
      <c r="H14" s="63" t="s">
        <v>369</v>
      </c>
      <c r="I14" s="63" t="str">
        <f t="shared" si="0"/>
        <v>'파스타면'</v>
      </c>
      <c r="J14" s="63" t="s">
        <v>143</v>
      </c>
      <c r="K14" s="63" t="s">
        <v>143</v>
      </c>
      <c r="L14" s="63">
        <v>694</v>
      </c>
    </row>
    <row r="15" spans="1:18">
      <c r="A15" s="63" t="s">
        <v>424</v>
      </c>
      <c r="B15" s="63" t="s">
        <v>354</v>
      </c>
      <c r="C15" s="63" t="s">
        <v>450</v>
      </c>
      <c r="D15" s="63" t="s">
        <v>354</v>
      </c>
      <c r="E15" s="63" t="s">
        <v>455</v>
      </c>
      <c r="F15" s="63" t="s">
        <v>425</v>
      </c>
      <c r="G15" s="63" t="s">
        <v>537</v>
      </c>
      <c r="H15" s="63" t="s">
        <v>425</v>
      </c>
      <c r="I15" s="63" t="str">
        <f t="shared" si="0"/>
        <v>'현미'</v>
      </c>
      <c r="J15" s="63" t="s">
        <v>283</v>
      </c>
      <c r="K15" s="63" t="s">
        <v>283</v>
      </c>
      <c r="L15" s="63">
        <v>1136</v>
      </c>
    </row>
    <row r="16" spans="1:18">
      <c r="A16" s="63" t="s">
        <v>427</v>
      </c>
      <c r="B16" s="63" t="s">
        <v>354</v>
      </c>
      <c r="C16" s="63" t="s">
        <v>450</v>
      </c>
      <c r="D16" s="63" t="s">
        <v>354</v>
      </c>
      <c r="E16" s="63" t="s">
        <v>455</v>
      </c>
      <c r="F16" s="63" t="s">
        <v>428</v>
      </c>
      <c r="G16" s="63" t="s">
        <v>539</v>
      </c>
      <c r="H16" s="63" t="s">
        <v>428</v>
      </c>
      <c r="I16" s="63" t="str">
        <f t="shared" si="0"/>
        <v>'혼식곡'</v>
      </c>
      <c r="J16" s="63" t="s">
        <v>283</v>
      </c>
      <c r="K16" s="63" t="s">
        <v>283</v>
      </c>
      <c r="L16" s="63">
        <v>1807</v>
      </c>
    </row>
    <row r="17" spans="1:12">
      <c r="A17" s="63" t="s">
        <v>298</v>
      </c>
      <c r="B17" s="63" t="s">
        <v>281</v>
      </c>
      <c r="C17" s="63" t="s">
        <v>449</v>
      </c>
      <c r="D17" s="63" t="s">
        <v>220</v>
      </c>
      <c r="E17" s="63" t="s">
        <v>456</v>
      </c>
      <c r="F17" s="63" t="s">
        <v>288</v>
      </c>
      <c r="G17" s="63" t="s">
        <v>475</v>
      </c>
      <c r="H17" s="63" t="s">
        <v>288</v>
      </c>
      <c r="I17" s="63" t="str">
        <f t="shared" si="0"/>
        <v>'과일가공품'</v>
      </c>
      <c r="J17" s="63" t="s">
        <v>143</v>
      </c>
      <c r="K17" s="63" t="s">
        <v>143</v>
      </c>
      <c r="L17" s="63">
        <v>2438</v>
      </c>
    </row>
    <row r="18" spans="1:12">
      <c r="A18" s="63" t="s">
        <v>331</v>
      </c>
      <c r="B18" s="63" t="s">
        <v>307</v>
      </c>
      <c r="C18" s="63" t="s">
        <v>451</v>
      </c>
      <c r="D18" s="63" t="s">
        <v>220</v>
      </c>
      <c r="E18" s="63" t="s">
        <v>456</v>
      </c>
      <c r="F18" s="63" t="s">
        <v>308</v>
      </c>
      <c r="G18" s="63" t="s">
        <v>488</v>
      </c>
      <c r="H18" s="63" t="s">
        <v>308</v>
      </c>
      <c r="I18" s="63" t="str">
        <f t="shared" si="0"/>
        <v>'딸기'</v>
      </c>
      <c r="J18" s="63" t="s">
        <v>143</v>
      </c>
      <c r="K18" s="63" t="s">
        <v>143</v>
      </c>
      <c r="L18" s="63">
        <v>735</v>
      </c>
    </row>
    <row r="19" spans="1:12">
      <c r="A19" s="63" t="s">
        <v>350</v>
      </c>
      <c r="B19" s="63" t="s">
        <v>307</v>
      </c>
      <c r="C19" s="63" t="s">
        <v>451</v>
      </c>
      <c r="D19" s="63" t="s">
        <v>220</v>
      </c>
      <c r="E19" s="63" t="s">
        <v>456</v>
      </c>
      <c r="F19" s="63" t="s">
        <v>351</v>
      </c>
      <c r="G19" s="63" t="s">
        <v>497</v>
      </c>
      <c r="H19" s="63" t="s">
        <v>351</v>
      </c>
      <c r="I19" s="63" t="str">
        <f t="shared" si="0"/>
        <v>'배'</v>
      </c>
      <c r="J19" s="63" t="s">
        <v>143</v>
      </c>
      <c r="K19" s="63" t="s">
        <v>143</v>
      </c>
      <c r="L19" s="63">
        <v>790</v>
      </c>
    </row>
    <row r="20" spans="1:12">
      <c r="A20" s="63" t="s">
        <v>363</v>
      </c>
      <c r="B20" s="63" t="s">
        <v>307</v>
      </c>
      <c r="C20" s="63" t="s">
        <v>451</v>
      </c>
      <c r="D20" s="63" t="s">
        <v>220</v>
      </c>
      <c r="E20" s="63" t="s">
        <v>456</v>
      </c>
      <c r="F20" s="63" t="s">
        <v>364</v>
      </c>
      <c r="G20" s="63" t="s">
        <v>501</v>
      </c>
      <c r="H20" s="63" t="s">
        <v>364</v>
      </c>
      <c r="I20" s="63" t="str">
        <f t="shared" si="0"/>
        <v>'블루베리'</v>
      </c>
      <c r="J20" s="63" t="s">
        <v>143</v>
      </c>
      <c r="K20" s="63" t="s">
        <v>143</v>
      </c>
      <c r="L20" s="63">
        <v>730</v>
      </c>
    </row>
    <row r="21" spans="1:12">
      <c r="A21" s="63" t="s">
        <v>368</v>
      </c>
      <c r="B21" s="63" t="s">
        <v>307</v>
      </c>
      <c r="C21" s="63" t="s">
        <v>451</v>
      </c>
      <c r="D21" s="63" t="s">
        <v>220</v>
      </c>
      <c r="E21" s="63" t="s">
        <v>456</v>
      </c>
      <c r="F21" s="63" t="s">
        <v>330</v>
      </c>
      <c r="G21" s="63" t="s">
        <v>503</v>
      </c>
      <c r="H21" s="63" t="s">
        <v>330</v>
      </c>
      <c r="I21" s="63" t="str">
        <f t="shared" si="0"/>
        <v>'사과'</v>
      </c>
      <c r="J21" s="63" t="s">
        <v>143</v>
      </c>
      <c r="K21" s="63" t="s">
        <v>143</v>
      </c>
      <c r="L21" s="63">
        <v>2932</v>
      </c>
    </row>
    <row r="22" spans="1:12">
      <c r="A22" s="63" t="s">
        <v>385</v>
      </c>
      <c r="B22" s="63" t="s">
        <v>307</v>
      </c>
      <c r="C22" s="63" t="s">
        <v>451</v>
      </c>
      <c r="D22" s="63" t="s">
        <v>220</v>
      </c>
      <c r="E22" s="63" t="s">
        <v>456</v>
      </c>
      <c r="F22" s="63" t="s">
        <v>386</v>
      </c>
      <c r="G22" s="63" t="s">
        <v>511</v>
      </c>
      <c r="H22" s="63" t="s">
        <v>386</v>
      </c>
      <c r="I22" s="63" t="str">
        <f t="shared" si="0"/>
        <v>'수박'</v>
      </c>
      <c r="J22" s="63" t="s">
        <v>143</v>
      </c>
      <c r="K22" s="63" t="s">
        <v>143</v>
      </c>
      <c r="L22" s="63">
        <v>685</v>
      </c>
    </row>
    <row r="23" spans="1:12">
      <c r="A23" s="63" t="s">
        <v>408</v>
      </c>
      <c r="B23" s="63" t="s">
        <v>307</v>
      </c>
      <c r="C23" s="63" t="s">
        <v>451</v>
      </c>
      <c r="D23" s="63" t="s">
        <v>220</v>
      </c>
      <c r="E23" s="63" t="s">
        <v>456</v>
      </c>
      <c r="F23" s="63" t="s">
        <v>409</v>
      </c>
      <c r="G23" s="63" t="s">
        <v>524</v>
      </c>
      <c r="H23" s="63" t="s">
        <v>409</v>
      </c>
      <c r="I23" s="63" t="str">
        <f t="shared" si="0"/>
        <v>'참외'</v>
      </c>
      <c r="J23" s="63" t="s">
        <v>143</v>
      </c>
      <c r="K23" s="63" t="s">
        <v>143</v>
      </c>
      <c r="L23" s="63">
        <v>512</v>
      </c>
    </row>
    <row r="24" spans="1:12">
      <c r="A24" s="63" t="s">
        <v>416</v>
      </c>
      <c r="B24" s="63" t="s">
        <v>307</v>
      </c>
      <c r="C24" s="63" t="s">
        <v>451</v>
      </c>
      <c r="D24" s="63" t="s">
        <v>220</v>
      </c>
      <c r="E24" s="63" t="s">
        <v>456</v>
      </c>
      <c r="F24" s="63" t="s">
        <v>417</v>
      </c>
      <c r="G24" s="63" t="s">
        <v>530</v>
      </c>
      <c r="H24" s="63" t="s">
        <v>417</v>
      </c>
      <c r="I24" s="63" t="str">
        <f t="shared" si="0"/>
        <v>'키위'</v>
      </c>
      <c r="J24" s="63" t="s">
        <v>143</v>
      </c>
      <c r="K24" s="63" t="s">
        <v>143</v>
      </c>
      <c r="L24" s="63">
        <v>900</v>
      </c>
    </row>
    <row r="25" spans="1:12">
      <c r="A25" s="63" t="s">
        <v>419</v>
      </c>
      <c r="B25" s="63" t="s">
        <v>307</v>
      </c>
      <c r="C25" s="63" t="s">
        <v>451</v>
      </c>
      <c r="D25" s="63" t="s">
        <v>220</v>
      </c>
      <c r="E25" s="63" t="s">
        <v>456</v>
      </c>
      <c r="F25" s="63" t="s">
        <v>365</v>
      </c>
      <c r="G25" s="63" t="s">
        <v>532</v>
      </c>
      <c r="H25" s="63" t="s">
        <v>365</v>
      </c>
      <c r="I25" s="63" t="str">
        <f t="shared" si="0"/>
        <v>'토마토'</v>
      </c>
      <c r="J25" s="63" t="s">
        <v>143</v>
      </c>
      <c r="K25" s="63" t="s">
        <v>143</v>
      </c>
      <c r="L25" s="63">
        <v>1392</v>
      </c>
    </row>
    <row r="26" spans="1:12">
      <c r="A26" s="63" t="s">
        <v>309</v>
      </c>
      <c r="B26" s="63" t="s">
        <v>281</v>
      </c>
      <c r="C26" s="63" t="s">
        <v>449</v>
      </c>
      <c r="D26" s="63" t="s">
        <v>444</v>
      </c>
      <c r="E26" s="63" t="s">
        <v>457</v>
      </c>
      <c r="F26" s="63" t="s">
        <v>310</v>
      </c>
      <c r="G26" s="63" t="s">
        <v>480</v>
      </c>
      <c r="H26" s="63" t="s">
        <v>310</v>
      </c>
      <c r="I26" s="63" t="str">
        <f t="shared" si="0"/>
        <v>'껌'</v>
      </c>
      <c r="J26" s="63" t="s">
        <v>283</v>
      </c>
      <c r="K26" s="63" t="s">
        <v>283</v>
      </c>
      <c r="L26" s="63">
        <v>742</v>
      </c>
    </row>
    <row r="27" spans="1:12">
      <c r="A27" s="63" t="s">
        <v>387</v>
      </c>
      <c r="B27" s="63" t="s">
        <v>281</v>
      </c>
      <c r="C27" s="63" t="s">
        <v>449</v>
      </c>
      <c r="D27" s="63" t="s">
        <v>444</v>
      </c>
      <c r="E27" s="63" t="s">
        <v>457</v>
      </c>
      <c r="F27" s="63" t="s">
        <v>342</v>
      </c>
      <c r="G27" s="63" t="s">
        <v>512</v>
      </c>
      <c r="H27" s="63" t="s">
        <v>342</v>
      </c>
      <c r="I27" s="63" t="str">
        <f t="shared" si="0"/>
        <v>'스낵과자'</v>
      </c>
      <c r="J27" s="63" t="s">
        <v>143</v>
      </c>
      <c r="K27" s="63" t="s">
        <v>143</v>
      </c>
      <c r="L27" s="63">
        <v>2340</v>
      </c>
    </row>
    <row r="28" spans="1:12">
      <c r="A28" s="63" t="s">
        <v>301</v>
      </c>
      <c r="B28" s="63" t="s">
        <v>274</v>
      </c>
      <c r="C28" s="63" t="s">
        <v>454</v>
      </c>
      <c r="D28" s="63" t="s">
        <v>302</v>
      </c>
      <c r="E28" s="63" t="s">
        <v>458</v>
      </c>
      <c r="F28" s="63" t="s">
        <v>294</v>
      </c>
      <c r="G28" s="63" t="s">
        <v>477</v>
      </c>
      <c r="H28" s="63" t="s">
        <v>294</v>
      </c>
      <c r="I28" s="63" t="str">
        <f t="shared" si="0"/>
        <v>'기능성음료'</v>
      </c>
      <c r="J28" s="63" t="s">
        <v>283</v>
      </c>
      <c r="K28" s="63" t="s">
        <v>283</v>
      </c>
      <c r="L28" s="63">
        <v>1090</v>
      </c>
    </row>
    <row r="29" spans="1:12">
      <c r="A29" s="63" t="s">
        <v>314</v>
      </c>
      <c r="B29" s="63" t="s">
        <v>281</v>
      </c>
      <c r="C29" s="63" t="s">
        <v>449</v>
      </c>
      <c r="D29" s="63" t="s">
        <v>315</v>
      </c>
      <c r="E29" s="63" t="s">
        <v>459</v>
      </c>
      <c r="F29" s="63" t="s">
        <v>303</v>
      </c>
      <c r="G29" s="63" t="s">
        <v>482</v>
      </c>
      <c r="H29" s="63" t="s">
        <v>303</v>
      </c>
      <c r="I29" s="63" t="str">
        <f t="shared" si="0"/>
        <v>'냉동식품'</v>
      </c>
      <c r="J29" s="63" t="s">
        <v>143</v>
      </c>
      <c r="K29" s="63" t="s">
        <v>143</v>
      </c>
      <c r="L29" s="63">
        <v>6149</v>
      </c>
    </row>
    <row r="30" spans="1:12">
      <c r="A30" s="63" t="s">
        <v>377</v>
      </c>
      <c r="B30" s="63" t="s">
        <v>378</v>
      </c>
      <c r="C30" s="63" t="s">
        <v>453</v>
      </c>
      <c r="D30" s="63" t="s">
        <v>378</v>
      </c>
      <c r="E30" s="63" t="s">
        <v>460</v>
      </c>
      <c r="F30" s="63" t="s">
        <v>145</v>
      </c>
      <c r="G30" s="63" t="s">
        <v>507</v>
      </c>
      <c r="H30" s="63" t="s">
        <v>145</v>
      </c>
      <c r="I30" s="63" t="str">
        <f t="shared" si="0"/>
        <v>'생수'</v>
      </c>
      <c r="J30" s="63" t="s">
        <v>143</v>
      </c>
      <c r="K30" s="63" t="s">
        <v>143</v>
      </c>
      <c r="L30" s="63">
        <v>880</v>
      </c>
    </row>
    <row r="31" spans="1:12">
      <c r="A31" s="63" t="s">
        <v>287</v>
      </c>
      <c r="B31" s="63" t="s">
        <v>307</v>
      </c>
      <c r="C31" s="63" t="s">
        <v>451</v>
      </c>
      <c r="D31" s="63" t="s">
        <v>312</v>
      </c>
      <c r="E31" s="63" t="s">
        <v>461</v>
      </c>
      <c r="F31" s="63" t="s">
        <v>286</v>
      </c>
      <c r="G31" s="63" t="s">
        <v>471</v>
      </c>
      <c r="H31" s="63" t="s">
        <v>286</v>
      </c>
      <c r="I31" s="63" t="str">
        <f t="shared" si="0"/>
        <v>'고등어'</v>
      </c>
      <c r="J31" s="63" t="s">
        <v>143</v>
      </c>
      <c r="K31" s="63" t="s">
        <v>143</v>
      </c>
      <c r="L31" s="63">
        <v>1803</v>
      </c>
    </row>
    <row r="32" spans="1:12">
      <c r="A32" s="63" t="s">
        <v>304</v>
      </c>
      <c r="B32" s="63" t="s">
        <v>281</v>
      </c>
      <c r="C32" s="63" t="s">
        <v>449</v>
      </c>
      <c r="D32" s="63" t="s">
        <v>127</v>
      </c>
      <c r="E32" s="63" t="s">
        <v>461</v>
      </c>
      <c r="F32" s="63" t="s">
        <v>297</v>
      </c>
      <c r="G32" s="63" t="s">
        <v>478</v>
      </c>
      <c r="H32" s="63" t="s">
        <v>297</v>
      </c>
      <c r="I32" s="63" t="str">
        <f t="shared" si="0"/>
        <v>'김'</v>
      </c>
      <c r="J32" s="63" t="s">
        <v>143</v>
      </c>
      <c r="K32" s="63" t="s">
        <v>143</v>
      </c>
      <c r="L32" s="63">
        <v>3426</v>
      </c>
    </row>
    <row r="33" spans="1:12">
      <c r="A33" s="63" t="s">
        <v>311</v>
      </c>
      <c r="B33" s="63" t="s">
        <v>307</v>
      </c>
      <c r="C33" s="63" t="s">
        <v>451</v>
      </c>
      <c r="D33" s="63" t="s">
        <v>312</v>
      </c>
      <c r="E33" s="63" t="s">
        <v>461</v>
      </c>
      <c r="F33" s="63" t="s">
        <v>300</v>
      </c>
      <c r="G33" s="63" t="s">
        <v>481</v>
      </c>
      <c r="H33" s="63" t="s">
        <v>300</v>
      </c>
      <c r="I33" s="63" t="str">
        <f t="shared" si="0"/>
        <v>'낙지'</v>
      </c>
      <c r="J33" s="63" t="s">
        <v>143</v>
      </c>
      <c r="K33" s="63" t="s">
        <v>143</v>
      </c>
      <c r="L33" s="63">
        <v>858</v>
      </c>
    </row>
    <row r="34" spans="1:12">
      <c r="A34" s="63" t="s">
        <v>337</v>
      </c>
      <c r="B34" s="63" t="s">
        <v>281</v>
      </c>
      <c r="C34" s="63" t="s">
        <v>449</v>
      </c>
      <c r="D34" s="63" t="s">
        <v>127</v>
      </c>
      <c r="E34" s="63" t="s">
        <v>461</v>
      </c>
      <c r="F34" s="63" t="s">
        <v>338</v>
      </c>
      <c r="G34" s="63" t="s">
        <v>491</v>
      </c>
      <c r="H34" s="63" t="s">
        <v>338</v>
      </c>
      <c r="I34" s="63" t="str">
        <f t="shared" ref="I34:I65" si="1">CONCATENATE("'",H34,"'")</f>
        <v>'마른멸치'</v>
      </c>
      <c r="J34" s="63" t="s">
        <v>143</v>
      </c>
      <c r="K34" s="63" t="s">
        <v>283</v>
      </c>
      <c r="L34" s="63">
        <v>1544</v>
      </c>
    </row>
    <row r="35" spans="1:12">
      <c r="A35" s="63" t="s">
        <v>340</v>
      </c>
      <c r="B35" s="63" t="s">
        <v>281</v>
      </c>
      <c r="C35" s="63" t="s">
        <v>449</v>
      </c>
      <c r="D35" s="63" t="s">
        <v>127</v>
      </c>
      <c r="E35" s="63" t="s">
        <v>461</v>
      </c>
      <c r="F35" s="63" t="s">
        <v>341</v>
      </c>
      <c r="G35" s="63" t="s">
        <v>492</v>
      </c>
      <c r="H35" s="63" t="s">
        <v>341</v>
      </c>
      <c r="I35" s="63" t="str">
        <f t="shared" si="1"/>
        <v>'마른오징어'</v>
      </c>
      <c r="J35" s="63" t="s">
        <v>143</v>
      </c>
      <c r="K35" s="63" t="s">
        <v>283</v>
      </c>
      <c r="L35" s="63">
        <v>1098</v>
      </c>
    </row>
    <row r="36" spans="1:12">
      <c r="A36" s="63" t="s">
        <v>343</v>
      </c>
      <c r="B36" s="63" t="s">
        <v>281</v>
      </c>
      <c r="C36" s="63" t="s">
        <v>449</v>
      </c>
      <c r="D36" s="63" t="s">
        <v>127</v>
      </c>
      <c r="E36" s="63" t="s">
        <v>461</v>
      </c>
      <c r="F36" s="63" t="s">
        <v>316</v>
      </c>
      <c r="G36" s="63" t="s">
        <v>493</v>
      </c>
      <c r="H36" s="63" t="s">
        <v>316</v>
      </c>
      <c r="I36" s="63" t="str">
        <f t="shared" si="1"/>
        <v>'맛김'</v>
      </c>
      <c r="J36" s="63" t="s">
        <v>143</v>
      </c>
      <c r="K36" s="63" t="s">
        <v>143</v>
      </c>
      <c r="L36" s="63">
        <v>1183</v>
      </c>
    </row>
    <row r="37" spans="1:12">
      <c r="A37" s="63" t="s">
        <v>345</v>
      </c>
      <c r="B37" s="63" t="s">
        <v>281</v>
      </c>
      <c r="C37" s="63" t="s">
        <v>449</v>
      </c>
      <c r="D37" s="63" t="s">
        <v>127</v>
      </c>
      <c r="E37" s="63" t="s">
        <v>461</v>
      </c>
      <c r="F37" s="63" t="s">
        <v>319</v>
      </c>
      <c r="G37" s="63" t="s">
        <v>494</v>
      </c>
      <c r="H37" s="63" t="s">
        <v>319</v>
      </c>
      <c r="I37" s="63" t="str">
        <f t="shared" si="1"/>
        <v>'미역'</v>
      </c>
      <c r="J37" s="63" t="s">
        <v>143</v>
      </c>
      <c r="K37" s="63" t="s">
        <v>143</v>
      </c>
      <c r="L37" s="63">
        <v>1652</v>
      </c>
    </row>
    <row r="38" spans="1:12">
      <c r="A38" s="63" t="s">
        <v>357</v>
      </c>
      <c r="B38" s="63" t="s">
        <v>281</v>
      </c>
      <c r="C38" s="63" t="s">
        <v>449</v>
      </c>
      <c r="D38" s="63" t="s">
        <v>127</v>
      </c>
      <c r="E38" s="63" t="s">
        <v>461</v>
      </c>
      <c r="F38" s="63" t="s">
        <v>358</v>
      </c>
      <c r="G38" s="63" t="s">
        <v>499</v>
      </c>
      <c r="H38" s="63" t="s">
        <v>358</v>
      </c>
      <c r="I38" s="63" t="str">
        <f t="shared" si="1"/>
        <v>'북어채'</v>
      </c>
      <c r="J38" s="63" t="s">
        <v>143</v>
      </c>
      <c r="K38" s="63" t="s">
        <v>283</v>
      </c>
      <c r="L38" s="63">
        <v>533</v>
      </c>
    </row>
    <row r="39" spans="1:12">
      <c r="A39" s="63" t="s">
        <v>375</v>
      </c>
      <c r="B39" s="63" t="s">
        <v>281</v>
      </c>
      <c r="C39" s="63" t="s">
        <v>449</v>
      </c>
      <c r="D39" s="63" t="s">
        <v>127</v>
      </c>
      <c r="E39" s="63" t="s">
        <v>461</v>
      </c>
      <c r="F39" s="63" t="s">
        <v>335</v>
      </c>
      <c r="G39" s="63" t="s">
        <v>506</v>
      </c>
      <c r="H39" s="63" t="s">
        <v>335</v>
      </c>
      <c r="I39" s="63" t="str">
        <f t="shared" si="1"/>
        <v>'생선통조림'</v>
      </c>
      <c r="J39" s="63" t="s">
        <v>143</v>
      </c>
      <c r="K39" s="63" t="s">
        <v>143</v>
      </c>
      <c r="L39" s="63">
        <v>2549</v>
      </c>
    </row>
    <row r="40" spans="1:12">
      <c r="A40" s="63" t="s">
        <v>397</v>
      </c>
      <c r="B40" s="63" t="s">
        <v>307</v>
      </c>
      <c r="C40" s="63" t="s">
        <v>451</v>
      </c>
      <c r="D40" s="63" t="s">
        <v>312</v>
      </c>
      <c r="E40" s="63" t="s">
        <v>461</v>
      </c>
      <c r="F40" s="63" t="s">
        <v>346</v>
      </c>
      <c r="G40" s="63" t="s">
        <v>518</v>
      </c>
      <c r="H40" s="63" t="s">
        <v>346</v>
      </c>
      <c r="I40" s="63" t="str">
        <f t="shared" si="1"/>
        <v>'오징어'</v>
      </c>
      <c r="J40" s="63" t="s">
        <v>143</v>
      </c>
      <c r="K40" s="63" t="s">
        <v>143</v>
      </c>
      <c r="L40" s="63">
        <v>965</v>
      </c>
    </row>
    <row r="41" spans="1:12">
      <c r="A41" s="63" t="s">
        <v>402</v>
      </c>
      <c r="B41" s="63" t="s">
        <v>307</v>
      </c>
      <c r="C41" s="63" t="s">
        <v>451</v>
      </c>
      <c r="D41" s="63" t="s">
        <v>312</v>
      </c>
      <c r="E41" s="63" t="s">
        <v>461</v>
      </c>
      <c r="F41" s="63" t="s">
        <v>403</v>
      </c>
      <c r="G41" s="63" t="s">
        <v>521</v>
      </c>
      <c r="H41" s="63" t="s">
        <v>403</v>
      </c>
      <c r="I41" s="63" t="str">
        <f t="shared" si="1"/>
        <v>'전복'</v>
      </c>
      <c r="J41" s="63" t="s">
        <v>143</v>
      </c>
      <c r="K41" s="63" t="s">
        <v>283</v>
      </c>
      <c r="L41" s="63">
        <v>1297</v>
      </c>
    </row>
    <row r="42" spans="1:12">
      <c r="A42" s="63" t="s">
        <v>306</v>
      </c>
      <c r="B42" s="63" t="s">
        <v>307</v>
      </c>
      <c r="C42" s="63" t="s">
        <v>451</v>
      </c>
      <c r="D42" s="63" t="s">
        <v>434</v>
      </c>
      <c r="E42" s="63" t="s">
        <v>462</v>
      </c>
      <c r="F42" s="63" t="s">
        <v>216</v>
      </c>
      <c r="G42" s="63" t="s">
        <v>479</v>
      </c>
      <c r="H42" s="63" t="s">
        <v>216</v>
      </c>
      <c r="I42" s="63" t="str">
        <f t="shared" si="1"/>
        <v>'김치'</v>
      </c>
      <c r="J42" s="63" t="s">
        <v>143</v>
      </c>
      <c r="K42" s="63" t="s">
        <v>143</v>
      </c>
      <c r="L42" s="63">
        <v>1926</v>
      </c>
    </row>
    <row r="43" spans="1:12">
      <c r="A43" s="63" t="s">
        <v>280</v>
      </c>
      <c r="B43" s="63" t="s">
        <v>281</v>
      </c>
      <c r="C43" s="63" t="s">
        <v>449</v>
      </c>
      <c r="D43" s="63" t="s">
        <v>445</v>
      </c>
      <c r="E43" s="63" t="s">
        <v>463</v>
      </c>
      <c r="F43" s="63" t="s">
        <v>282</v>
      </c>
      <c r="G43" s="63" t="s">
        <v>469</v>
      </c>
      <c r="H43" s="63" t="s">
        <v>282</v>
      </c>
      <c r="I43" s="63" t="str">
        <f t="shared" si="1"/>
        <v>'간장'</v>
      </c>
      <c r="J43" s="63" t="s">
        <v>283</v>
      </c>
      <c r="K43" s="63" t="s">
        <v>283</v>
      </c>
      <c r="L43" s="63">
        <v>1391</v>
      </c>
    </row>
    <row r="44" spans="1:12">
      <c r="A44" s="63" t="s">
        <v>292</v>
      </c>
      <c r="B44" s="63" t="s">
        <v>281</v>
      </c>
      <c r="C44" s="63" t="s">
        <v>449</v>
      </c>
      <c r="D44" s="63" t="s">
        <v>445</v>
      </c>
      <c r="E44" s="63" t="s">
        <v>463</v>
      </c>
      <c r="F44" s="63" t="s">
        <v>293</v>
      </c>
      <c r="G44" s="63" t="s">
        <v>473</v>
      </c>
      <c r="H44" s="63" t="s">
        <v>293</v>
      </c>
      <c r="I44" s="63" t="str">
        <f t="shared" si="1"/>
        <v>'고추장'</v>
      </c>
      <c r="J44" s="63" t="s">
        <v>283</v>
      </c>
      <c r="K44" s="63" t="s">
        <v>283</v>
      </c>
      <c r="L44" s="63">
        <v>1276</v>
      </c>
    </row>
    <row r="45" spans="1:12">
      <c r="A45" s="63" t="s">
        <v>295</v>
      </c>
      <c r="B45" s="63" t="s">
        <v>281</v>
      </c>
      <c r="C45" s="63" t="s">
        <v>449</v>
      </c>
      <c r="D45" s="63" t="s">
        <v>445</v>
      </c>
      <c r="E45" s="63" t="s">
        <v>463</v>
      </c>
      <c r="F45" s="63" t="s">
        <v>296</v>
      </c>
      <c r="G45" s="63" t="s">
        <v>474</v>
      </c>
      <c r="H45" s="63" t="s">
        <v>296</v>
      </c>
      <c r="I45" s="63" t="str">
        <f t="shared" si="1"/>
        <v>'고춧가루'</v>
      </c>
      <c r="J45" s="63" t="s">
        <v>283</v>
      </c>
      <c r="K45" s="63" t="s">
        <v>283</v>
      </c>
      <c r="L45" s="63">
        <v>2458</v>
      </c>
    </row>
    <row r="46" spans="1:12">
      <c r="A46" s="63" t="s">
        <v>325</v>
      </c>
      <c r="B46" s="63" t="s">
        <v>281</v>
      </c>
      <c r="C46" s="63" t="s">
        <v>449</v>
      </c>
      <c r="D46" s="63" t="s">
        <v>445</v>
      </c>
      <c r="E46" s="63" t="s">
        <v>463</v>
      </c>
      <c r="F46" s="63" t="s">
        <v>326</v>
      </c>
      <c r="G46" s="63" t="s">
        <v>486</v>
      </c>
      <c r="H46" s="63" t="s">
        <v>326</v>
      </c>
      <c r="I46" s="63" t="str">
        <f t="shared" si="1"/>
        <v>'된장'</v>
      </c>
      <c r="J46" s="63" t="s">
        <v>283</v>
      </c>
      <c r="K46" s="63" t="s">
        <v>283</v>
      </c>
      <c r="L46" s="63">
        <v>1096</v>
      </c>
    </row>
    <row r="47" spans="1:12">
      <c r="A47" s="63" t="s">
        <v>328</v>
      </c>
      <c r="B47" s="63" t="s">
        <v>281</v>
      </c>
      <c r="C47" s="63" t="s">
        <v>449</v>
      </c>
      <c r="D47" s="63" t="s">
        <v>445</v>
      </c>
      <c r="E47" s="63" t="s">
        <v>463</v>
      </c>
      <c r="F47" s="63" t="s">
        <v>329</v>
      </c>
      <c r="G47" s="63" t="s">
        <v>487</v>
      </c>
      <c r="H47" s="63" t="s">
        <v>329</v>
      </c>
      <c r="I47" s="63" t="str">
        <f t="shared" si="1"/>
        <v>'드레싱'</v>
      </c>
      <c r="J47" s="63" t="s">
        <v>143</v>
      </c>
      <c r="K47" s="63" t="s">
        <v>143</v>
      </c>
      <c r="L47" s="63">
        <v>876</v>
      </c>
    </row>
    <row r="48" spans="1:12">
      <c r="A48" s="63" t="s">
        <v>380</v>
      </c>
      <c r="B48" s="63" t="s">
        <v>281</v>
      </c>
      <c r="C48" s="63" t="s">
        <v>449</v>
      </c>
      <c r="D48" s="63" t="s">
        <v>445</v>
      </c>
      <c r="E48" s="63" t="s">
        <v>463</v>
      </c>
      <c r="F48" s="63" t="s">
        <v>381</v>
      </c>
      <c r="G48" s="63" t="s">
        <v>508</v>
      </c>
      <c r="H48" s="63" t="s">
        <v>381</v>
      </c>
      <c r="I48" s="63" t="str">
        <f t="shared" si="1"/>
        <v>'설탕'</v>
      </c>
      <c r="J48" s="63" t="s">
        <v>283</v>
      </c>
      <c r="K48" s="63" t="s">
        <v>283</v>
      </c>
      <c r="L48" s="63">
        <v>1124</v>
      </c>
    </row>
    <row r="49" spans="1:12">
      <c r="A49" s="63" t="s">
        <v>382</v>
      </c>
      <c r="B49" s="63" t="s">
        <v>281</v>
      </c>
      <c r="C49" s="63" t="s">
        <v>449</v>
      </c>
      <c r="D49" s="63" t="s">
        <v>445</v>
      </c>
      <c r="E49" s="63" t="s">
        <v>463</v>
      </c>
      <c r="F49" s="63" t="s">
        <v>383</v>
      </c>
      <c r="G49" s="63" t="s">
        <v>509</v>
      </c>
      <c r="H49" s="63" t="s">
        <v>383</v>
      </c>
      <c r="I49" s="63" t="str">
        <f t="shared" si="1"/>
        <v>'소금'</v>
      </c>
      <c r="J49" s="63" t="s">
        <v>283</v>
      </c>
      <c r="K49" s="63" t="s">
        <v>283</v>
      </c>
      <c r="L49" s="63">
        <v>1175</v>
      </c>
    </row>
    <row r="50" spans="1:12">
      <c r="A50" s="63" t="s">
        <v>388</v>
      </c>
      <c r="B50" s="63" t="s">
        <v>281</v>
      </c>
      <c r="C50" s="63" t="s">
        <v>449</v>
      </c>
      <c r="D50" s="63" t="s">
        <v>445</v>
      </c>
      <c r="E50" s="63" t="s">
        <v>463</v>
      </c>
      <c r="F50" s="63" t="s">
        <v>389</v>
      </c>
      <c r="G50" s="63" t="s">
        <v>513</v>
      </c>
      <c r="H50" s="63" t="s">
        <v>389</v>
      </c>
      <c r="I50" s="63" t="str">
        <f t="shared" si="1"/>
        <v>'식용유'</v>
      </c>
      <c r="J50" s="63" t="s">
        <v>283</v>
      </c>
      <c r="K50" s="63" t="s">
        <v>283</v>
      </c>
      <c r="L50" s="63">
        <v>834</v>
      </c>
    </row>
    <row r="51" spans="1:12">
      <c r="A51" s="63" t="s">
        <v>390</v>
      </c>
      <c r="B51" s="63" t="s">
        <v>281</v>
      </c>
      <c r="C51" s="63" t="s">
        <v>449</v>
      </c>
      <c r="D51" s="63" t="s">
        <v>445</v>
      </c>
      <c r="E51" s="63" t="s">
        <v>463</v>
      </c>
      <c r="F51" s="63" t="s">
        <v>391</v>
      </c>
      <c r="G51" s="63" t="s">
        <v>514</v>
      </c>
      <c r="H51" s="63" t="s">
        <v>391</v>
      </c>
      <c r="I51" s="63" t="str">
        <f t="shared" si="1"/>
        <v>'식초'</v>
      </c>
      <c r="J51" s="63" t="s">
        <v>283</v>
      </c>
      <c r="K51" s="63" t="s">
        <v>283</v>
      </c>
      <c r="L51" s="63">
        <v>1196</v>
      </c>
    </row>
    <row r="52" spans="1:12">
      <c r="A52" s="63" t="s">
        <v>400</v>
      </c>
      <c r="B52" s="63" t="s">
        <v>281</v>
      </c>
      <c r="C52" s="63" t="s">
        <v>449</v>
      </c>
      <c r="D52" s="63" t="s">
        <v>445</v>
      </c>
      <c r="E52" s="63" t="s">
        <v>463</v>
      </c>
      <c r="F52" s="63" t="s">
        <v>401</v>
      </c>
      <c r="G52" s="63" t="s">
        <v>520</v>
      </c>
      <c r="H52" s="63" t="s">
        <v>401</v>
      </c>
      <c r="I52" s="63" t="str">
        <f t="shared" si="1"/>
        <v>'잼'</v>
      </c>
      <c r="J52" s="63" t="s">
        <v>143</v>
      </c>
      <c r="K52" s="63" t="s">
        <v>143</v>
      </c>
      <c r="L52" s="63">
        <v>1993</v>
      </c>
    </row>
    <row r="53" spans="1:12">
      <c r="A53" s="63" t="s">
        <v>406</v>
      </c>
      <c r="B53" s="63" t="s">
        <v>281</v>
      </c>
      <c r="C53" s="63" t="s">
        <v>449</v>
      </c>
      <c r="D53" s="63" t="s">
        <v>445</v>
      </c>
      <c r="E53" s="63" t="s">
        <v>463</v>
      </c>
      <c r="F53" s="63" t="s">
        <v>407</v>
      </c>
      <c r="G53" s="63" t="s">
        <v>523</v>
      </c>
      <c r="H53" s="63" t="s">
        <v>407</v>
      </c>
      <c r="I53" s="63" t="str">
        <f t="shared" si="1"/>
        <v>'참기름'</v>
      </c>
      <c r="J53" s="63" t="s">
        <v>283</v>
      </c>
      <c r="K53" s="63" t="s">
        <v>283</v>
      </c>
      <c r="L53" s="63">
        <v>1627</v>
      </c>
    </row>
    <row r="54" spans="1:12">
      <c r="A54" s="63" t="s">
        <v>413</v>
      </c>
      <c r="B54" s="63" t="s">
        <v>281</v>
      </c>
      <c r="C54" s="63" t="s">
        <v>449</v>
      </c>
      <c r="D54" s="63" t="s">
        <v>445</v>
      </c>
      <c r="E54" s="63" t="s">
        <v>463</v>
      </c>
      <c r="F54" s="63" t="s">
        <v>352</v>
      </c>
      <c r="G54" s="63" t="s">
        <v>527</v>
      </c>
      <c r="H54" s="63" t="s">
        <v>352</v>
      </c>
      <c r="I54" s="63" t="str">
        <f t="shared" si="1"/>
        <v>'카레'</v>
      </c>
      <c r="J54" s="63" t="s">
        <v>143</v>
      </c>
      <c r="K54" s="63" t="s">
        <v>143</v>
      </c>
      <c r="L54" s="63">
        <v>1159</v>
      </c>
    </row>
    <row r="55" spans="1:12">
      <c r="A55" s="63" t="s">
        <v>430</v>
      </c>
      <c r="B55" s="63" t="s">
        <v>281</v>
      </c>
      <c r="C55" s="63" t="s">
        <v>449</v>
      </c>
      <c r="D55" s="63" t="s">
        <v>445</v>
      </c>
      <c r="E55" s="63" t="s">
        <v>463</v>
      </c>
      <c r="F55" s="63" t="s">
        <v>431</v>
      </c>
      <c r="G55" s="63" t="s">
        <v>541</v>
      </c>
      <c r="H55" s="63" t="s">
        <v>431</v>
      </c>
      <c r="I55" s="63" t="str">
        <f t="shared" si="1"/>
        <v>'혼합조미료'</v>
      </c>
      <c r="J55" s="63" t="s">
        <v>143</v>
      </c>
      <c r="K55" s="63" t="s">
        <v>283</v>
      </c>
      <c r="L55" s="63">
        <v>320</v>
      </c>
    </row>
    <row r="56" spans="1:12">
      <c r="A56" s="63" t="s">
        <v>429</v>
      </c>
      <c r="B56" s="63" t="s">
        <v>274</v>
      </c>
      <c r="C56" s="63" t="s">
        <v>454</v>
      </c>
      <c r="D56" s="63" t="s">
        <v>274</v>
      </c>
      <c r="E56" s="63" t="s">
        <v>452</v>
      </c>
      <c r="F56" s="63" t="s">
        <v>379</v>
      </c>
      <c r="G56" s="63" t="s">
        <v>540</v>
      </c>
      <c r="H56" s="63" t="s">
        <v>379</v>
      </c>
      <c r="I56" s="63" t="str">
        <f t="shared" si="1"/>
        <v>'혼합음료'</v>
      </c>
      <c r="J56" s="63" t="s">
        <v>143</v>
      </c>
      <c r="K56" s="63" t="s">
        <v>143</v>
      </c>
      <c r="L56" s="63">
        <v>2299</v>
      </c>
    </row>
    <row r="57" spans="1:12">
      <c r="A57" s="63" t="s">
        <v>404</v>
      </c>
      <c r="B57" s="63" t="s">
        <v>281</v>
      </c>
      <c r="C57" s="63" t="s">
        <v>449</v>
      </c>
      <c r="D57" s="63" t="s">
        <v>405</v>
      </c>
      <c r="E57" s="63" t="s">
        <v>464</v>
      </c>
      <c r="F57" s="63" t="s">
        <v>218</v>
      </c>
      <c r="G57" s="63" t="s">
        <v>522</v>
      </c>
      <c r="H57" s="63" t="s">
        <v>218</v>
      </c>
      <c r="I57" s="63" t="str">
        <f t="shared" si="1"/>
        <v>'즉석식품'</v>
      </c>
      <c r="J57" s="63" t="s">
        <v>143</v>
      </c>
      <c r="K57" s="63" t="s">
        <v>143</v>
      </c>
      <c r="L57" s="63">
        <v>3884</v>
      </c>
    </row>
    <row r="58" spans="1:12">
      <c r="A58" s="63" t="s">
        <v>285</v>
      </c>
      <c r="B58" s="63" t="s">
        <v>307</v>
      </c>
      <c r="C58" s="63" t="s">
        <v>451</v>
      </c>
      <c r="D58" s="63" t="s">
        <v>446</v>
      </c>
      <c r="E58" s="63" t="s">
        <v>465</v>
      </c>
      <c r="F58" s="63" t="s">
        <v>284</v>
      </c>
      <c r="G58" s="63" t="s">
        <v>470</v>
      </c>
      <c r="H58" s="63" t="s">
        <v>284</v>
      </c>
      <c r="I58" s="63" t="str">
        <f t="shared" si="1"/>
        <v>'고구마'</v>
      </c>
      <c r="J58" s="63" t="s">
        <v>143</v>
      </c>
      <c r="K58" s="63" t="s">
        <v>143</v>
      </c>
      <c r="L58" s="63">
        <v>1667</v>
      </c>
    </row>
    <row r="59" spans="1:12">
      <c r="A59" s="63" t="s">
        <v>289</v>
      </c>
      <c r="B59" s="63" t="s">
        <v>281</v>
      </c>
      <c r="C59" s="63" t="s">
        <v>449</v>
      </c>
      <c r="D59" s="63" t="s">
        <v>446</v>
      </c>
      <c r="E59" s="63" t="s">
        <v>465</v>
      </c>
      <c r="F59" s="63" t="s">
        <v>290</v>
      </c>
      <c r="G59" s="63" t="s">
        <v>472</v>
      </c>
      <c r="H59" s="63" t="s">
        <v>290</v>
      </c>
      <c r="I59" s="63" t="str">
        <f t="shared" si="1"/>
        <v>'고사리'</v>
      </c>
      <c r="J59" s="63" t="s">
        <v>143</v>
      </c>
      <c r="K59" s="63" t="s">
        <v>143</v>
      </c>
      <c r="L59" s="63">
        <v>794</v>
      </c>
    </row>
    <row r="60" spans="1:12">
      <c r="A60" s="63" t="s">
        <v>317</v>
      </c>
      <c r="B60" s="63" t="s">
        <v>281</v>
      </c>
      <c r="C60" s="63" t="s">
        <v>449</v>
      </c>
      <c r="D60" s="63" t="s">
        <v>446</v>
      </c>
      <c r="E60" s="63" t="s">
        <v>465</v>
      </c>
      <c r="F60" s="63" t="s">
        <v>318</v>
      </c>
      <c r="G60" s="63" t="s">
        <v>483</v>
      </c>
      <c r="H60" s="63" t="s">
        <v>318</v>
      </c>
      <c r="I60" s="63" t="str">
        <f t="shared" si="1"/>
        <v>'단무지'</v>
      </c>
      <c r="J60" s="63" t="s">
        <v>283</v>
      </c>
      <c r="K60" s="63" t="s">
        <v>283</v>
      </c>
      <c r="L60" s="63">
        <v>848</v>
      </c>
    </row>
    <row r="61" spans="1:12">
      <c r="A61" s="63" t="s">
        <v>322</v>
      </c>
      <c r="B61" s="63" t="s">
        <v>307</v>
      </c>
      <c r="C61" s="63" t="s">
        <v>451</v>
      </c>
      <c r="D61" s="63" t="s">
        <v>446</v>
      </c>
      <c r="E61" s="63" t="s">
        <v>465</v>
      </c>
      <c r="F61" s="63" t="s">
        <v>323</v>
      </c>
      <c r="G61" s="63" t="s">
        <v>485</v>
      </c>
      <c r="H61" s="63" t="s">
        <v>323</v>
      </c>
      <c r="I61" s="63" t="str">
        <f t="shared" si="1"/>
        <v>'도라지'</v>
      </c>
      <c r="J61" s="63" t="s">
        <v>143</v>
      </c>
      <c r="K61" s="63" t="s">
        <v>143</v>
      </c>
      <c r="L61" s="63">
        <v>842</v>
      </c>
    </row>
    <row r="62" spans="1:12">
      <c r="A62" s="63" t="s">
        <v>370</v>
      </c>
      <c r="B62" s="63" t="s">
        <v>307</v>
      </c>
      <c r="C62" s="63" t="s">
        <v>451</v>
      </c>
      <c r="D62" s="63" t="s">
        <v>448</v>
      </c>
      <c r="E62" s="63" t="s">
        <v>465</v>
      </c>
      <c r="F62" s="63" t="s">
        <v>332</v>
      </c>
      <c r="G62" s="63" t="s">
        <v>504</v>
      </c>
      <c r="H62" s="63" t="s">
        <v>332</v>
      </c>
      <c r="I62" s="63" t="str">
        <f t="shared" si="1"/>
        <v>'상추'</v>
      </c>
      <c r="J62" s="63" t="s">
        <v>143</v>
      </c>
      <c r="K62" s="63" t="s">
        <v>143</v>
      </c>
      <c r="L62" s="63">
        <v>1144</v>
      </c>
    </row>
    <row r="63" spans="1:12">
      <c r="A63" s="63" t="s">
        <v>372</v>
      </c>
      <c r="B63" s="63" t="s">
        <v>307</v>
      </c>
      <c r="C63" s="63" t="s">
        <v>451</v>
      </c>
      <c r="D63" s="63" t="s">
        <v>446</v>
      </c>
      <c r="E63" s="63" t="s">
        <v>465</v>
      </c>
      <c r="F63" s="63" t="s">
        <v>373</v>
      </c>
      <c r="G63" s="63" t="s">
        <v>505</v>
      </c>
      <c r="H63" s="63" t="s">
        <v>373</v>
      </c>
      <c r="I63" s="63" t="str">
        <f t="shared" si="1"/>
        <v>'생강'</v>
      </c>
      <c r="J63" s="63" t="s">
        <v>283</v>
      </c>
      <c r="K63" s="63" t="s">
        <v>283</v>
      </c>
      <c r="L63" s="63">
        <v>920</v>
      </c>
    </row>
    <row r="64" spans="1:12">
      <c r="A64" s="63" t="s">
        <v>420</v>
      </c>
      <c r="B64" s="63" t="s">
        <v>307</v>
      </c>
      <c r="C64" s="63" t="s">
        <v>451</v>
      </c>
      <c r="D64" s="63" t="s">
        <v>446</v>
      </c>
      <c r="E64" s="63" t="s">
        <v>465</v>
      </c>
      <c r="F64" s="63" t="s">
        <v>367</v>
      </c>
      <c r="G64" s="63" t="s">
        <v>533</v>
      </c>
      <c r="H64" s="63" t="s">
        <v>367</v>
      </c>
      <c r="I64" s="63" t="str">
        <f t="shared" si="1"/>
        <v>'파'</v>
      </c>
      <c r="J64" s="63" t="s">
        <v>143</v>
      </c>
      <c r="K64" s="63" t="s">
        <v>143</v>
      </c>
      <c r="L64" s="63">
        <v>1082</v>
      </c>
    </row>
    <row r="65" spans="1:12">
      <c r="A65" s="63" t="s">
        <v>422</v>
      </c>
      <c r="B65" s="63" t="s">
        <v>307</v>
      </c>
      <c r="C65" s="63" t="s">
        <v>451</v>
      </c>
      <c r="D65" s="63" t="s">
        <v>446</v>
      </c>
      <c r="E65" s="63" t="s">
        <v>465</v>
      </c>
      <c r="F65" s="63" t="s">
        <v>371</v>
      </c>
      <c r="G65" s="63" t="s">
        <v>535</v>
      </c>
      <c r="H65" s="63" t="s">
        <v>371</v>
      </c>
      <c r="I65" s="63" t="str">
        <f t="shared" si="1"/>
        <v>'파프리카'</v>
      </c>
      <c r="J65" s="63" t="s">
        <v>143</v>
      </c>
      <c r="K65" s="63" t="s">
        <v>143</v>
      </c>
      <c r="L65" s="63">
        <v>858</v>
      </c>
    </row>
    <row r="66" spans="1:12">
      <c r="A66" s="63" t="s">
        <v>423</v>
      </c>
      <c r="B66" s="63" t="s">
        <v>307</v>
      </c>
      <c r="C66" s="63" t="s">
        <v>451</v>
      </c>
      <c r="D66" s="63" t="s">
        <v>446</v>
      </c>
      <c r="E66" s="63" t="s">
        <v>465</v>
      </c>
      <c r="F66" s="63" t="s">
        <v>374</v>
      </c>
      <c r="G66" s="63" t="s">
        <v>536</v>
      </c>
      <c r="H66" s="63" t="s">
        <v>374</v>
      </c>
      <c r="I66" s="63" t="str">
        <f t="shared" ref="I66:I74" si="2">CONCATENATE("'",H66,"'")</f>
        <v>'풋고추'</v>
      </c>
      <c r="J66" s="63" t="s">
        <v>143</v>
      </c>
      <c r="K66" s="63" t="s">
        <v>143</v>
      </c>
      <c r="L66" s="63">
        <v>612</v>
      </c>
    </row>
    <row r="67" spans="1:12">
      <c r="A67" s="63" t="s">
        <v>426</v>
      </c>
      <c r="B67" s="63" t="s">
        <v>307</v>
      </c>
      <c r="C67" s="63" t="s">
        <v>451</v>
      </c>
      <c r="D67" s="63" t="s">
        <v>446</v>
      </c>
      <c r="E67" s="63" t="s">
        <v>465</v>
      </c>
      <c r="F67" s="63" t="s">
        <v>376</v>
      </c>
      <c r="G67" s="63" t="s">
        <v>538</v>
      </c>
      <c r="H67" s="63" t="s">
        <v>376</v>
      </c>
      <c r="I67" s="63" t="str">
        <f t="shared" si="2"/>
        <v>'호박'</v>
      </c>
      <c r="J67" s="63" t="s">
        <v>143</v>
      </c>
      <c r="K67" s="63" t="s">
        <v>143</v>
      </c>
      <c r="L67" s="63">
        <v>1285</v>
      </c>
    </row>
    <row r="68" spans="1:12">
      <c r="A68" s="63" t="s">
        <v>360</v>
      </c>
      <c r="B68" s="63" t="s">
        <v>281</v>
      </c>
      <c r="C68" s="63" t="s">
        <v>449</v>
      </c>
      <c r="D68" s="63" t="s">
        <v>147</v>
      </c>
      <c r="E68" s="63" t="s">
        <v>466</v>
      </c>
      <c r="F68" s="63" t="s">
        <v>361</v>
      </c>
      <c r="G68" s="63" t="s">
        <v>500</v>
      </c>
      <c r="H68" s="63" t="s">
        <v>361</v>
      </c>
      <c r="I68" s="63" t="str">
        <f t="shared" si="2"/>
        <v>'분유'</v>
      </c>
      <c r="J68" s="63" t="s">
        <v>283</v>
      </c>
      <c r="K68" s="63" t="s">
        <v>283</v>
      </c>
      <c r="L68" s="63">
        <v>1064</v>
      </c>
    </row>
    <row r="69" spans="1:12">
      <c r="A69" s="63" t="s">
        <v>384</v>
      </c>
      <c r="B69" s="63" t="s">
        <v>281</v>
      </c>
      <c r="C69" s="63" t="s">
        <v>449</v>
      </c>
      <c r="D69" s="63" t="s">
        <v>147</v>
      </c>
      <c r="E69" s="63" t="s">
        <v>466</v>
      </c>
      <c r="F69" s="63" t="s">
        <v>339</v>
      </c>
      <c r="G69" s="63" t="s">
        <v>510</v>
      </c>
      <c r="H69" s="63" t="s">
        <v>339</v>
      </c>
      <c r="I69" s="63" t="str">
        <f t="shared" si="2"/>
        <v>'소시지'</v>
      </c>
      <c r="J69" s="63" t="s">
        <v>143</v>
      </c>
      <c r="K69" s="63" t="s">
        <v>143</v>
      </c>
      <c r="L69" s="63">
        <v>774</v>
      </c>
    </row>
    <row r="70" spans="1:12">
      <c r="A70" s="63" t="s">
        <v>395</v>
      </c>
      <c r="B70" s="63" t="s">
        <v>281</v>
      </c>
      <c r="C70" s="63" t="s">
        <v>449</v>
      </c>
      <c r="D70" s="63" t="s">
        <v>147</v>
      </c>
      <c r="E70" s="63" t="s">
        <v>466</v>
      </c>
      <c r="F70" s="63" t="s">
        <v>396</v>
      </c>
      <c r="G70" s="63" t="s">
        <v>517</v>
      </c>
      <c r="H70" s="63" t="s">
        <v>396</v>
      </c>
      <c r="I70" s="63" t="str">
        <f t="shared" si="2"/>
        <v>'아이스크림'</v>
      </c>
      <c r="J70" s="63" t="s">
        <v>283</v>
      </c>
      <c r="K70" s="63" t="s">
        <v>283</v>
      </c>
      <c r="L70" s="63">
        <v>725</v>
      </c>
    </row>
    <row r="71" spans="1:12">
      <c r="A71" s="63" t="s">
        <v>398</v>
      </c>
      <c r="B71" s="63" t="s">
        <v>281</v>
      </c>
      <c r="C71" s="63" t="s">
        <v>449</v>
      </c>
      <c r="D71" s="63" t="s">
        <v>147</v>
      </c>
      <c r="E71" s="63" t="s">
        <v>466</v>
      </c>
      <c r="F71" s="63" t="s">
        <v>399</v>
      </c>
      <c r="G71" s="63" t="s">
        <v>519</v>
      </c>
      <c r="H71" s="63" t="s">
        <v>399</v>
      </c>
      <c r="I71" s="63" t="str">
        <f t="shared" si="2"/>
        <v>'이유식'</v>
      </c>
      <c r="J71" s="63" t="s">
        <v>283</v>
      </c>
      <c r="K71" s="63" t="s">
        <v>283</v>
      </c>
      <c r="L71" s="63">
        <v>676</v>
      </c>
    </row>
    <row r="72" spans="1:12">
      <c r="A72" s="63" t="s">
        <v>412</v>
      </c>
      <c r="B72" s="63" t="s">
        <v>281</v>
      </c>
      <c r="C72" s="63" t="s">
        <v>449</v>
      </c>
      <c r="D72" s="63" t="s">
        <v>147</v>
      </c>
      <c r="E72" s="63" t="s">
        <v>466</v>
      </c>
      <c r="F72" s="63" t="s">
        <v>349</v>
      </c>
      <c r="G72" s="63" t="s">
        <v>526</v>
      </c>
      <c r="H72" s="63" t="s">
        <v>349</v>
      </c>
      <c r="I72" s="63" t="str">
        <f t="shared" si="2"/>
        <v>'치즈'</v>
      </c>
      <c r="J72" s="63" t="s">
        <v>143</v>
      </c>
      <c r="K72" s="63" t="s">
        <v>143</v>
      </c>
      <c r="L72" s="63">
        <v>1423</v>
      </c>
    </row>
    <row r="73" spans="1:12">
      <c r="A73" s="63" t="s">
        <v>414</v>
      </c>
      <c r="B73" s="63" t="s">
        <v>281</v>
      </c>
      <c r="C73" s="63" t="s">
        <v>449</v>
      </c>
      <c r="D73" s="63" t="s">
        <v>432</v>
      </c>
      <c r="E73" s="63" t="s">
        <v>467</v>
      </c>
      <c r="F73" s="63" t="s">
        <v>356</v>
      </c>
      <c r="G73" s="63" t="s">
        <v>528</v>
      </c>
      <c r="H73" s="63" t="s">
        <v>356</v>
      </c>
      <c r="I73" s="63" t="str">
        <f t="shared" si="2"/>
        <v>'커피'</v>
      </c>
      <c r="J73" s="63" t="s">
        <v>143</v>
      </c>
      <c r="K73" s="63" t="s">
        <v>143</v>
      </c>
      <c r="L73" s="63">
        <v>2845</v>
      </c>
    </row>
    <row r="74" spans="1:12">
      <c r="A74" s="63" t="s">
        <v>418</v>
      </c>
      <c r="B74" s="63" t="s">
        <v>274</v>
      </c>
      <c r="C74" s="63" t="s">
        <v>454</v>
      </c>
      <c r="D74" s="63" t="s">
        <v>433</v>
      </c>
      <c r="E74" s="63" t="s">
        <v>468</v>
      </c>
      <c r="F74" s="63" t="s">
        <v>362</v>
      </c>
      <c r="G74" s="63" t="s">
        <v>531</v>
      </c>
      <c r="H74" s="63" t="s">
        <v>362</v>
      </c>
      <c r="I74" s="63" t="str">
        <f t="shared" si="2"/>
        <v>'탄산음료'</v>
      </c>
      <c r="J74" s="63" t="s">
        <v>143</v>
      </c>
      <c r="K74" s="63" t="s">
        <v>143</v>
      </c>
      <c r="L74" s="63">
        <v>1291</v>
      </c>
    </row>
  </sheetData>
  <autoFilter ref="A1:L74" xr:uid="{3406931E-CC77-4537-B5DF-219CE86ED8E5}">
    <sortState xmlns:xlrd2="http://schemas.microsoft.com/office/spreadsheetml/2017/richdata2" ref="A2:L74">
      <sortCondition ref="E2:E74"/>
      <sortCondition ref="G2:G74"/>
    </sortState>
  </autoFilter>
  <sortState xmlns:xlrd2="http://schemas.microsoft.com/office/spreadsheetml/2017/richdata2" ref="A2:L74">
    <sortCondition ref="C2:C74"/>
    <sortCondition ref="E2:E74"/>
    <sortCondition ref="F2:F74"/>
  </sortState>
  <phoneticPr fontId="2" type="noConversion"/>
  <pageMargins left="0.75" right="0.75" top="1" bottom="1" header="0.5" footer="0.5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데이터 목록</vt:lpstr>
      <vt:lpstr>데이터 사전</vt:lpstr>
      <vt:lpstr>자료조사</vt:lpstr>
      <vt:lpstr>시나리오.멘토용</vt:lpstr>
      <vt:lpstr>탐색분석</vt:lpstr>
      <vt:lpstr>상품분류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</dc:creator>
  <cp:lastModifiedBy>삼범 허</cp:lastModifiedBy>
  <cp:lastPrinted>2022-05-23T14:23:42Z</cp:lastPrinted>
  <dcterms:created xsi:type="dcterms:W3CDTF">2020-01-08T02:18:59Z</dcterms:created>
  <dcterms:modified xsi:type="dcterms:W3CDTF">2026-01-10T05:28:07Z</dcterms:modified>
</cp:coreProperties>
</file>